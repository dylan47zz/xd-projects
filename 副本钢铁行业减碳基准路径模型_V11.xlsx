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860" windowHeight="10600" activeTab="3"/>
  </bookViews>
  <sheets>
    <sheet name="模型总览与设计逻辑" sheetId="1" r:id="rId1"/>
    <sheet name="积极情景" sheetId="2" r:id="rId2"/>
    <sheet name="适度情景" sheetId="3" r:id="rId3"/>
    <sheet name="保守情景" sheetId="4" r:id="rId4"/>
    <sheet name="汇总对比与可视化看板" sheetId="5" r:id="rId5"/>
    <sheet name="金融机构目标设置（组合估算）" sheetId="6" r:id="rId6"/>
    <sheet name="金融机构目标设置（企业）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<sst xmlns="http://schemas.openxmlformats.org/spreadsheetml/2006/main" count="767" uniqueCount="345">
  <si>
    <t>钢铁行业减碳基准路径模型 V7 - 行业基准校准版</t>
  </si>
  <si>
    <t>由碳强度目标倒推技术路径比例 | 基准年碳强度=1.95 | 2024-2060逐年 | CCUS百万吨起步</t>
  </si>
  <si>
    <t>一、模型目的</t>
  </si>
  <si>
    <t>本模型为金融机构转型金融业务提供钢铁行业减碳基准路径参考。</t>
  </si>
  <si>
    <t>核心方法论: 自上而下(CG碳预算) + 自下而上(行业技术路径) 双路径耦合。</t>
  </si>
  <si>
    <t>模型本质: 由结果(碳强度目标)倒推过程(技术路径比例)，确保关键年份目标对齐。</t>
  </si>
  <si>
    <t>二、全局硬性规定</t>
  </si>
  <si>
    <t>1. 禁止硬编码: 除Step1/2基准数据外，所有数值由公式生成。</t>
  </si>
  <si>
    <t>2. 年份连续: 2024-2060每一年数据，不得省略。</t>
  </si>
  <si>
    <t>3. 情景梯度: 保守 &gt; 适度 &gt; 积极(每年都必须成立)。</t>
  </si>
  <si>
    <t>4. 基准年约束: 2024年碳强度=1.95, 2025年碳强度=1.904(三情景统一, 自然效应)。</t>
  </si>
  <si>
    <t>5. 单位规范: 产量(万吨), 碳排放(万吨CO2), 碳强度(tCO2/t)。</t>
  </si>
  <si>
    <t>6. CCUS约束: 百万吨起步, 2030年保守200-500/适度500-800/积极800-1200万吨。</t>
  </si>
  <si>
    <t>7. H2冶金基准: 2024年=1%(约1000万吨), 2030年~2900万吨, 2050年0.96-1.12亿吨。</t>
  </si>
  <si>
    <t>三、关键年份目标(已校准)</t>
  </si>
  <si>
    <t>指标</t>
  </si>
  <si>
    <t>积极</t>
  </si>
  <si>
    <t>适度</t>
  </si>
  <si>
    <t>保守</t>
  </si>
  <si>
    <t>2024碳强度</t>
  </si>
  <si>
    <t>1.9500</t>
  </si>
  <si>
    <t>2025碳强度</t>
  </si>
  <si>
    <t>1.9051</t>
  </si>
  <si>
    <t>2030碳强度</t>
  </si>
  <si>
    <t>1.5920</t>
  </si>
  <si>
    <t>1.7990</t>
  </si>
  <si>
    <t>1.8425</t>
  </si>
  <si>
    <t>2030降幅(vs2024)</t>
  </si>
  <si>
    <t>-18.36%</t>
  </si>
  <si>
    <t>-7.74%</t>
  </si>
  <si>
    <t>-5.52%</t>
  </si>
  <si>
    <t>2035碳强度</t>
  </si>
  <si>
    <t>1.1734</t>
  </si>
  <si>
    <t>1.6185</t>
  </si>
  <si>
    <t>1.6814</t>
  </si>
  <si>
    <t>2060碳强度</t>
  </si>
  <si>
    <t>0.0040</t>
  </si>
  <si>
    <t>0.0060</t>
  </si>
  <si>
    <t>0.0080</t>
  </si>
  <si>
    <t>2060 CCUS(亿吨)</t>
  </si>
  <si>
    <t>2.7</t>
  </si>
  <si>
    <t>4.1</t>
  </si>
  <si>
    <t>5.6</t>
  </si>
  <si>
    <t>四、基准年参数(Step 2)</t>
  </si>
  <si>
    <t>基准年</t>
  </si>
  <si>
    <t>2024</t>
  </si>
  <si>
    <t>长流程废钢比(%)</t>
  </si>
  <si>
    <t>30</t>
  </si>
  <si>
    <t>粗钢产量(万吨)</t>
  </si>
  <si>
    <t>100,509</t>
  </si>
  <si>
    <t>短流程废钢比(%)</t>
  </si>
  <si>
    <t>100</t>
  </si>
  <si>
    <t>碳排放总量(万吨CO2)</t>
  </si>
  <si>
    <t>195,992</t>
  </si>
  <si>
    <t>氢冶金废钢比(%)</t>
  </si>
  <si>
    <t>50</t>
  </si>
  <si>
    <t>吨钢碳排放强度(tCO2/t)</t>
  </si>
  <si>
    <t>1.95</t>
  </si>
  <si>
    <t>吨钢耗废钢量</t>
  </si>
  <si>
    <t>1.1</t>
  </si>
  <si>
    <t>长流程产量占比(%)</t>
  </si>
  <si>
    <t>89</t>
  </si>
  <si>
    <t>吨钢耗铁水量</t>
  </si>
  <si>
    <t>1.053</t>
  </si>
  <si>
    <t>短流程产量占比(%)</t>
  </si>
  <si>
    <t>10</t>
  </si>
  <si>
    <t>吨铁水耗铁矿石量</t>
  </si>
  <si>
    <t>1.65</t>
  </si>
  <si>
    <t>氢冶金产量占比(%)</t>
  </si>
  <si>
    <t>1</t>
  </si>
  <si>
    <t>BF-BOF碳排放强度(tCO2/t)</t>
  </si>
  <si>
    <t>1.80</t>
  </si>
  <si>
    <t>Scrap-EAF碳排放强度(tCO2/t)</t>
  </si>
  <si>
    <t>0.45</t>
  </si>
  <si>
    <t>长流程铁水碳排放强度(tCO2/t)</t>
  </si>
  <si>
    <t>1.26</t>
  </si>
  <si>
    <t>DRI-EAF碳排放强度(tCO2/t)</t>
  </si>
  <si>
    <t>电网因子(kgCO2/kWh)</t>
  </si>
  <si>
    <t>0.5306</t>
  </si>
  <si>
    <t>BF-BOF耗电(kWh/t)</t>
  </si>
  <si>
    <t>450</t>
  </si>
  <si>
    <t>Scrap-EAF耗电(kWh/t)</t>
  </si>
  <si>
    <t>550</t>
  </si>
  <si>
    <t>DRI-EAF耗电(kWh/t)</t>
  </si>
  <si>
    <t>500</t>
  </si>
  <si>
    <t>五、Sheet索引</t>
  </si>
  <si>
    <t>Sheet 1</t>
  </si>
  <si>
    <t>模型总览与设计逻辑</t>
  </si>
  <si>
    <t>本页</t>
  </si>
  <si>
    <t>Sheet 2</t>
  </si>
  <si>
    <t>积极情景</t>
  </si>
  <si>
    <t>NZE/1.5C路线图</t>
  </si>
  <si>
    <t>Sheet 3</t>
  </si>
  <si>
    <t>适度情景</t>
  </si>
  <si>
    <t>CGE 2C(推荐对标)</t>
  </si>
  <si>
    <t>Sheet 4</t>
  </si>
  <si>
    <t>保守情景</t>
  </si>
  <si>
    <t>NDC政策承诺</t>
  </si>
  <si>
    <t>Sheet 5</t>
  </si>
  <si>
    <t>汇总对比与可视化</t>
  </si>
  <si>
    <t>三情景对比+图表</t>
  </si>
  <si>
    <t>Sheet 6</t>
  </si>
  <si>
    <t>金融机构(组合)</t>
  </si>
  <si>
    <t>银行总行资产组合对标</t>
  </si>
  <si>
    <t>Sheet 7</t>
  </si>
  <si>
    <t>金融机构(企业)</t>
  </si>
  <si>
    <t>龙头企业目标对标</t>
  </si>
  <si>
    <t>钢铁行业减碳基准路径 - 积极情景</t>
  </si>
  <si>
    <t>基准年2024 | 碳强度1.95 tCO2/t | CCUS百万吨起步 | 2024-2060逐年</t>
  </si>
  <si>
    <t>公式说明</t>
  </si>
  <si>
    <t>Step 2: 基准年参数</t>
  </si>
  <si>
    <t>Step 1: 宏观经济假设</t>
  </si>
  <si>
    <t>参数名称</t>
  </si>
  <si>
    <t>参数值</t>
  </si>
  <si>
    <t>GDP增长率(%)</t>
  </si>
  <si>
    <t>国家统计局/IFS-CGE</t>
  </si>
  <si>
    <t>实际GDP(2020价万亿)</t>
  </si>
  <si>
    <t>支出法GDP</t>
  </si>
  <si>
    <t>人口(亿人)</t>
  </si>
  <si>
    <t>联合国中位预测</t>
  </si>
  <si>
    <t>全国CO2排放(亿吨)</t>
  </si>
  <si>
    <t>IFS-CGE模型</t>
  </si>
  <si>
    <t>吨钢综合能耗(kgce/t)</t>
  </si>
  <si>
    <t>2025+1.9%: 产品结构调整+超低排放+入炉矿品位下降</t>
  </si>
  <si>
    <t>吨钢综合能耗同比变化(%)</t>
  </si>
  <si>
    <t>国家统计局/中钢协数据</t>
  </si>
  <si>
    <t>---工艺参数---</t>
  </si>
  <si>
    <t>Step 3: 粗钢产量(万吨)</t>
  </si>
  <si>
    <t>CAGR插值(三情景共用)</t>
  </si>
  <si>
    <t>Step 4: 流程结构</t>
  </si>
  <si>
    <t>二分法校准</t>
  </si>
  <si>
    <t>情景差异化</t>
  </si>
  <si>
    <t>长流程产量(万吨)</t>
  </si>
  <si>
    <t>短流程产量(万吨)</t>
  </si>
  <si>
    <t>氢冶金产量(万吨)</t>
  </si>
  <si>
    <t>BF-BOF碳排放强度</t>
  </si>
  <si>
    <t>1.80 tCO2/t</t>
  </si>
  <si>
    <t>Step 5: 铁素资源结构</t>
  </si>
  <si>
    <t>Scrap-EAF碳排放强度</t>
  </si>
  <si>
    <t>0.45 tCO2/t</t>
  </si>
  <si>
    <t>废钢资源量参考(万吨/年)</t>
  </si>
  <si>
    <t>崔志峰等(2023): 2045峰值约5亿吨, 2050年4.7-5.2亿吨</t>
  </si>
  <si>
    <t>DRI-EAF碳排放强度</t>
  </si>
  <si>
    <t>1.65 tCO2/t</t>
  </si>
  <si>
    <t>长流程废钢消耗量(万吨)</t>
  </si>
  <si>
    <t>铁素资源公式</t>
  </si>
  <si>
    <t>铁水碳排放强度</t>
  </si>
  <si>
    <t>1.26 tCO2/t</t>
  </si>
  <si>
    <t>长流程矿石消耗量(万吨)</t>
  </si>
  <si>
    <t>短流程废钢消耗量(万吨)</t>
  </si>
  <si>
    <t>---电力参数---</t>
  </si>
  <si>
    <t>氢冶金废钢消耗量(万吨)</t>
  </si>
  <si>
    <t>氢冶金矿石消耗量(万吨)</t>
  </si>
  <si>
    <t>废钢消耗总量(万吨)</t>
  </si>
  <si>
    <t>矿石消耗总量(万吨)</t>
  </si>
  <si>
    <t>Step 6: 电力结构</t>
  </si>
  <si>
    <t>总耗电量(万kWh)</t>
  </si>
  <si>
    <t>电力结构公式</t>
  </si>
  <si>
    <t>绿电占比</t>
  </si>
  <si>
    <t>总绿电量(万kWh)</t>
  </si>
  <si>
    <t>Step 7: 低碳技术</t>
  </si>
  <si>
    <t>低碳技术名称</t>
  </si>
  <si>
    <t>逐年技术部署</t>
  </si>
  <si>
    <t>干熄焦技术(已部署,含于基准)</t>
  </si>
  <si>
    <t>厚料层烧结技术</t>
  </si>
  <si>
    <t>球团废热循环利用技术</t>
  </si>
  <si>
    <t>-</t>
  </si>
  <si>
    <t>高炉炉顶煤气干式余压发电技术(TRT)</t>
  </si>
  <si>
    <t>高炉冲渣水直接换热回收余热技术</t>
  </si>
  <si>
    <t>转炉气体及显热回收技术</t>
  </si>
  <si>
    <t>转炉'负能炼钢'工艺技术</t>
  </si>
  <si>
    <t>钢包加盖技术</t>
  </si>
  <si>
    <t>钢包周转优化技术</t>
  </si>
  <si>
    <t>废钢预热技术</t>
  </si>
  <si>
    <t>电源及电控系统智能化控制技术</t>
  </si>
  <si>
    <t>电炉连续加料技术</t>
  </si>
  <si>
    <t>连铸坯热送热装技术</t>
  </si>
  <si>
    <t>薄板坯连铸技术</t>
  </si>
  <si>
    <t>当年降碳潜力(tCO2/t)</t>
  </si>
  <si>
    <t>逐年假设(可调)</t>
  </si>
  <si>
    <t>累计降碳潜力(tCO2/t)</t>
  </si>
  <si>
    <t>原始累计(含基准1.95内)</t>
  </si>
  <si>
    <t>Step 8: 低碳发展测算表(Waterfall)</t>
  </si>
  <si>
    <t>8.1 产量变化</t>
  </si>
  <si>
    <t>产量变化碳排放曲线(万吨CO2)</t>
  </si>
  <si>
    <t>产量变化降碳潜力(万吨CO2)</t>
  </si>
  <si>
    <t>8.2 原料结构优化</t>
  </si>
  <si>
    <t>原料优化降碳潜力(万吨CO2)</t>
  </si>
  <si>
    <t>原料优化碳排放曲线(万吨CO2)</t>
  </si>
  <si>
    <t>8.3 短流程比例提升</t>
  </si>
  <si>
    <t>短流程提升降碳潜力(万吨CO2)</t>
  </si>
  <si>
    <t>短流程提升碳排放曲线(万吨CO2)</t>
  </si>
  <si>
    <t>8.4 氢冶金比例提升</t>
  </si>
  <si>
    <t>氢冶金提升降碳潜力(万吨CO2)</t>
  </si>
  <si>
    <t>氢冶金提升碳排放曲线(万吨CO2)</t>
  </si>
  <si>
    <t>8.5 能源结构(绿电)</t>
  </si>
  <si>
    <t>绿电降碳潜力(万吨CO2)</t>
  </si>
  <si>
    <t>能源结构碳排放曲线(万吨CO2)</t>
  </si>
  <si>
    <t>8.6 低碳工艺技术</t>
  </si>
  <si>
    <t>低碳工艺降碳潜力(万吨CO2)</t>
  </si>
  <si>
    <t>低碳工艺碳排放曲线(万吨CO2)</t>
  </si>
  <si>
    <t>8.7 CCUS</t>
  </si>
  <si>
    <t>CCUS动态比例</t>
  </si>
  <si>
    <t>配平比例(2035前=0)</t>
  </si>
  <si>
    <t>CCUS捕集量(万吨CO2)</t>
  </si>
  <si>
    <t>8.8 最终结果</t>
  </si>
  <si>
    <t>碳强度较基准年变化(%)</t>
  </si>
  <si>
    <t>占全国碳预算比例(%)</t>
  </si>
  <si>
    <t>钢铁行业减碳基准路径 - 适度情景</t>
  </si>
  <si>
    <t>钢铁行业减碳基准路径 - 保守情景</t>
  </si>
  <si>
    <t>三情景碳强度对比与关键指标汇总</t>
  </si>
  <si>
    <t>年份</t>
  </si>
  <si>
    <t>保守情景吨钢碳强度</t>
  </si>
  <si>
    <t>保守累计降幅</t>
  </si>
  <si>
    <t>适度情景吨钢碳强度</t>
  </si>
  <si>
    <t>适度累计降幅</t>
  </si>
  <si>
    <t>积极情景吨钢碳强度</t>
  </si>
  <si>
    <t>积极累计降幅</t>
  </si>
  <si>
    <t>适度vs保守(百分点)</t>
  </si>
  <si>
    <t>积极vs适度(百分点)</t>
  </si>
  <si>
    <t>适度情景CO2排放(万吨)</t>
  </si>
  <si>
    <t>积极情景CO2排放(万吨)</t>
  </si>
  <si>
    <t>金融机构钢铁行业投融资组合减碳目标对标</t>
  </si>
  <si>
    <t>基于适度情景 | 技术路径降碳潜力与适度情景一致</t>
  </si>
  <si>
    <t>银行输入参数</t>
  </si>
  <si>
    <t>钢铁行业贷款总额(亿元)</t>
  </si>
  <si>
    <t>请输入</t>
  </si>
  <si>
    <t>加权平均碳强度起点(tCO2/t)</t>
  </si>
  <si>
    <t>2030年碳强度目标(tCO2/t)</t>
  </si>
  <si>
    <t>2035年碳强度目标(tCO2/t)</t>
  </si>
  <si>
    <t>2040年碳强度目标(tCO2/t)</t>
  </si>
  <si>
    <t>适度情景各减排路径贡献(万吨CO2)</t>
  </si>
  <si>
    <t>产量变化</t>
  </si>
  <si>
    <t>原料结构</t>
  </si>
  <si>
    <t>短流程提升</t>
  </si>
  <si>
    <t>氢冶金提升</t>
  </si>
  <si>
    <t>绿电</t>
  </si>
  <si>
    <t>低碳技术</t>
  </si>
  <si>
    <t>CCUS</t>
  </si>
  <si>
    <t>龙头企业碳减排目标对标与企业级路径验证</t>
  </si>
  <si>
    <t>国内龙头钢铁企业碳减排目标</t>
  </si>
  <si>
    <t>企业</t>
  </si>
  <si>
    <t>碳达峰年份</t>
  </si>
  <si>
    <t>目标年份</t>
  </si>
  <si>
    <t>目标减排幅度</t>
  </si>
  <si>
    <t>2024-2030折算减排幅度</t>
  </si>
  <si>
    <t>备注</t>
  </si>
  <si>
    <t>宝武集团</t>
  </si>
  <si>
    <t>较2020年吨钢碳排放强度下降30%</t>
  </si>
  <si>
    <t>13.3%</t>
  </si>
  <si>
    <t>行业龙头</t>
  </si>
  <si>
    <t>宝钢股份</t>
  </si>
  <si>
    <t/>
  </si>
  <si>
    <t>鞍钢股份</t>
  </si>
  <si>
    <t>较2025年吨钢碳排放强度下降30%</t>
  </si>
  <si>
    <t>19.3%</t>
  </si>
  <si>
    <t>首钢股份</t>
  </si>
  <si>
    <t>较2025年碳排放总量下降30%</t>
  </si>
  <si>
    <t>总量指标</t>
  </si>
  <si>
    <t>河钢集团</t>
  </si>
  <si>
    <t>较2022年吨钢碳排放强度下降30%</t>
  </si>
  <si>
    <t>23.4%</t>
  </si>
  <si>
    <t>建龙集团</t>
  </si>
  <si>
    <t>较2020年吨钢碳排放强度下降25%</t>
  </si>
  <si>
    <t>12.4%</t>
  </si>
  <si>
    <t>中信特钢</t>
  </si>
  <si>
    <t>较2021年吨钢碳排放强度下降5%</t>
  </si>
  <si>
    <t>3.4%</t>
  </si>
  <si>
    <t>已达峰</t>
  </si>
  <si>
    <t>2024-2030年碳减排目标均值</t>
  </si>
  <si>
    <t>14.9%</t>
  </si>
  <si>
    <t>标杆企业路径还原(宝山钢铁)</t>
  </si>
  <si>
    <t>2020</t>
  </si>
  <si>
    <t>2023</t>
  </si>
  <si>
    <t>2025(目标)</t>
  </si>
  <si>
    <t>2030(目标)</t>
  </si>
  <si>
    <t>吨钢碳排放强度(tCO2e/t)</t>
  </si>
  <si>
    <t>2.13</t>
  </si>
  <si>
    <t>2.04</t>
  </si>
  <si>
    <t>2.00</t>
  </si>
  <si>
    <t>1.96</t>
  </si>
  <si>
    <t>1.81</t>
  </si>
  <si>
    <t>相对指数(2020=1.00)</t>
  </si>
  <si>
    <t>1.00</t>
  </si>
  <si>
    <t>0.96</t>
  </si>
  <si>
    <t>0.94</t>
  </si>
  <si>
    <t>0.92</t>
  </si>
  <si>
    <t>0.85</t>
  </si>
  <si>
    <t>阶段降幅</t>
  </si>
  <si>
    <t>-4.0%</t>
  </si>
  <si>
    <t>-2.0%</t>
  </si>
  <si>
    <t>-2.2%</t>
  </si>
  <si>
    <t>-7.1%</t>
  </si>
  <si>
    <t>阶段性降碳斜率校验</t>
  </si>
  <si>
    <t>计算步骤</t>
  </si>
  <si>
    <t>公式</t>
  </si>
  <si>
    <t>结果</t>
  </si>
  <si>
    <t>2025/2024碳强度比</t>
  </si>
  <si>
    <t>0.92/0.94</t>
  </si>
  <si>
    <t>0.979</t>
  </si>
  <si>
    <t>2030/2025碳强度比</t>
  </si>
  <si>
    <t>0.85/0.92</t>
  </si>
  <si>
    <t>0.924</t>
  </si>
  <si>
    <t>2030/2024碳强度比</t>
  </si>
  <si>
    <t>0.85/0.94</t>
  </si>
  <si>
    <t>0.905</t>
  </si>
  <si>
    <t>2024-2030累计降幅</t>
  </si>
  <si>
    <t>1-0.905</t>
  </si>
  <si>
    <t>9.5%</t>
  </si>
  <si>
    <t>CAGR折算比例</t>
  </si>
  <si>
    <t>9.5%/13.3%</t>
  </si>
  <si>
    <t>71.4%</t>
  </si>
  <si>
    <t>行业龙头修正后降幅</t>
  </si>
  <si>
    <t>14.9%×71.4%</t>
  </si>
  <si>
    <t>10.64%</t>
  </si>
  <si>
    <t>行业降碳能力分层测算</t>
  </si>
  <si>
    <t>分类</t>
  </si>
  <si>
    <t>占比</t>
  </si>
  <si>
    <t>降碳幅度</t>
  </si>
  <si>
    <t>加权</t>
  </si>
  <si>
    <t>头部企业(CR10)</t>
  </si>
  <si>
    <t>42%</t>
  </si>
  <si>
    <t>4.47%</t>
  </si>
  <si>
    <t>其他企业</t>
  </si>
  <si>
    <t>58%</t>
  </si>
  <si>
    <t>5.85%</t>
  </si>
  <si>
    <t>3.39%</t>
  </si>
  <si>
    <t>行业整体</t>
  </si>
  <si>
    <t>100%</t>
  </si>
  <si>
    <t>7.86%</t>
  </si>
  <si>
    <t>信贷组合校正</t>
  </si>
  <si>
    <t>客户类型</t>
  </si>
  <si>
    <t>降碳贡献</t>
  </si>
  <si>
    <t>国央企(结构减排)</t>
  </si>
  <si>
    <t>70%</t>
  </si>
  <si>
    <t>5.50%</t>
  </si>
  <si>
    <t>流动资金贷款</t>
  </si>
  <si>
    <t>20%</t>
  </si>
  <si>
    <t>0%</t>
  </si>
  <si>
    <t>其他</t>
  </si>
  <si>
    <t>10%</t>
  </si>
  <si>
    <t>3%</t>
  </si>
  <si>
    <t>0.30%</t>
  </si>
  <si>
    <t>组合碳强度降幅</t>
  </si>
  <si>
    <t>5.80%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</si>
</sst>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0.0000"/>
  </numFmts>
  <fonts count="28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i/>
      <sz val="9"/>
      <color rgb="FF666666"/>
      <name val="微软雅黑"/>
      <charset val="134"/>
    </font>
    <font>
      <b/>
      <sz val="14"/>
      <color rgb="FF2B2D31"/>
      <name val="宋体"/>
      <charset val="134"/>
      <scheme val="minor"/>
    </font>
    <font>
      <sz val="14"/>
      <color rgb="FF2B2D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7" fillId="6" borderId="0" xfId="0" applyFont="1" applyFill="1" applyAlignment="1">
      <alignment horizontal="left" wrapText="1" indent="2"/>
    </xf>
    <xf numFmtId="0" fontId="8" fillId="6" borderId="0" xfId="0" applyFont="1" applyFill="1" applyAlignment="1">
      <alignment horizontal="left" wrapText="1" indent="2"/>
    </xf>
    <xf numFmtId="10" fontId="8" fillId="6" borderId="0" xfId="0" applyNumberFormat="1" applyFont="1" applyFill="1" applyAlignment="1">
      <alignment horizontal="left" wrapText="1" indent="2"/>
    </xf>
    <xf numFmtId="3" fontId="8" fillId="6" borderId="0" xfId="0" applyNumberFormat="1" applyFont="1" applyFill="1" applyAlignment="1">
      <alignment horizontal="left" wrapText="1" indent="2"/>
    </xf>
    <xf numFmtId="0" fontId="5" fillId="7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77" fontId="4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8" fontId="5" fillId="8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三情景碳强度路径对比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[1]三情景综合对比!$B$4</c:f>
              <c:strCache>
                <c:ptCount val="1"/>
                <c:pt idx="0">
                  <c:v>保守情景吨钢碳强度</c:v>
                </c:pt>
              </c:strCache>
            </c:strRef>
          </c:tx>
          <c:spPr>
            <a:ln w="47625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[1]三情景综合对比!$A$5:$A$41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[1]三情景综合对比!$B$5:$B$41</c:f>
              <c:numCache>
                <c:formatCode>General</c:formatCode>
                <c:ptCount val="37"/>
                <c:pt idx="0">
                  <c:v>1.95</c:v>
                </c:pt>
                <c:pt idx="1">
                  <c:v>1.958</c:v>
                </c:pt>
                <c:pt idx="2">
                  <c:v>1.941</c:v>
                </c:pt>
                <c:pt idx="3">
                  <c:v>1.924</c:v>
                </c:pt>
                <c:pt idx="4">
                  <c:v>1.907</c:v>
                </c:pt>
                <c:pt idx="5">
                  <c:v>1.891</c:v>
                </c:pt>
                <c:pt idx="6">
                  <c:v>1.874</c:v>
                </c:pt>
                <c:pt idx="7">
                  <c:v>1.849</c:v>
                </c:pt>
                <c:pt idx="8">
                  <c:v>1.825</c:v>
                </c:pt>
                <c:pt idx="9">
                  <c:v>1.8</c:v>
                </c:pt>
                <c:pt idx="10">
                  <c:v>1.776</c:v>
                </c:pt>
                <c:pt idx="11">
                  <c:v>1.751</c:v>
                </c:pt>
                <c:pt idx="12">
                  <c:v>1.691</c:v>
                </c:pt>
                <c:pt idx="13">
                  <c:v>1.631</c:v>
                </c:pt>
                <c:pt idx="14">
                  <c:v>1.571</c:v>
                </c:pt>
                <c:pt idx="15">
                  <c:v>1.51</c:v>
                </c:pt>
                <c:pt idx="16">
                  <c:v>1.45</c:v>
                </c:pt>
                <c:pt idx="17">
                  <c:v>1.38</c:v>
                </c:pt>
                <c:pt idx="18">
                  <c:v>1.31</c:v>
                </c:pt>
                <c:pt idx="19">
                  <c:v>1.24</c:v>
                </c:pt>
                <c:pt idx="20">
                  <c:v>1.17</c:v>
                </c:pt>
                <c:pt idx="21">
                  <c:v>1.1</c:v>
                </c:pt>
                <c:pt idx="22">
                  <c:v>1.03</c:v>
                </c:pt>
                <c:pt idx="23">
                  <c:v>0.96</c:v>
                </c:pt>
                <c:pt idx="24">
                  <c:v>0.89</c:v>
                </c:pt>
                <c:pt idx="25">
                  <c:v>0.82</c:v>
                </c:pt>
                <c:pt idx="26">
                  <c:v>0.75</c:v>
                </c:pt>
                <c:pt idx="27">
                  <c:v>0.687</c:v>
                </c:pt>
                <c:pt idx="28">
                  <c:v>0.624</c:v>
                </c:pt>
                <c:pt idx="29">
                  <c:v>0.561</c:v>
                </c:pt>
                <c:pt idx="30">
                  <c:v>0.498</c:v>
                </c:pt>
                <c:pt idx="31">
                  <c:v>0.435</c:v>
                </c:pt>
                <c:pt idx="32">
                  <c:v>0.372</c:v>
                </c:pt>
                <c:pt idx="33">
                  <c:v>0.309</c:v>
                </c:pt>
                <c:pt idx="34">
                  <c:v>0.246</c:v>
                </c:pt>
                <c:pt idx="35">
                  <c:v>0.183</c:v>
                </c:pt>
                <c:pt idx="36">
                  <c:v>0.12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[1]三情景综合对比!$D$4</c:f>
              <c:strCache>
                <c:ptCount val="1"/>
                <c:pt idx="0">
                  <c:v>适度情景吨钢碳强度</c:v>
                </c:pt>
              </c:strCache>
            </c:strRef>
          </c:tx>
          <c:spPr>
            <a:ln w="4762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[1]三情景综合对比!$A$5:$A$41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[1]三情景综合对比!$D$5:$D$41</c:f>
              <c:numCache>
                <c:formatCode>General</c:formatCode>
                <c:ptCount val="37"/>
                <c:pt idx="0">
                  <c:v>1.95</c:v>
                </c:pt>
                <c:pt idx="1">
                  <c:v>1.954</c:v>
                </c:pt>
                <c:pt idx="2">
                  <c:v>1.923</c:v>
                </c:pt>
                <c:pt idx="3">
                  <c:v>1.891</c:v>
                </c:pt>
                <c:pt idx="4">
                  <c:v>1.86</c:v>
                </c:pt>
                <c:pt idx="5">
                  <c:v>1.829</c:v>
                </c:pt>
                <c:pt idx="6">
                  <c:v>1.798</c:v>
                </c:pt>
                <c:pt idx="7">
                  <c:v>1.76</c:v>
                </c:pt>
                <c:pt idx="8">
                  <c:v>1.722</c:v>
                </c:pt>
                <c:pt idx="9">
                  <c:v>1.684</c:v>
                </c:pt>
                <c:pt idx="10">
                  <c:v>1.646</c:v>
                </c:pt>
                <c:pt idx="11">
                  <c:v>1.607</c:v>
                </c:pt>
                <c:pt idx="12">
                  <c:v>1.516</c:v>
                </c:pt>
                <c:pt idx="13">
                  <c:v>1.424</c:v>
                </c:pt>
                <c:pt idx="14">
                  <c:v>1.333</c:v>
                </c:pt>
                <c:pt idx="15">
                  <c:v>1.241</c:v>
                </c:pt>
                <c:pt idx="16">
                  <c:v>1.15</c:v>
                </c:pt>
                <c:pt idx="17">
                  <c:v>1.075</c:v>
                </c:pt>
                <c:pt idx="18">
                  <c:v>1</c:v>
                </c:pt>
                <c:pt idx="19">
                  <c:v>0.925</c:v>
                </c:pt>
                <c:pt idx="20">
                  <c:v>0.85</c:v>
                </c:pt>
                <c:pt idx="21">
                  <c:v>0.775</c:v>
                </c:pt>
                <c:pt idx="22">
                  <c:v>0.7</c:v>
                </c:pt>
                <c:pt idx="23">
                  <c:v>0.625</c:v>
                </c:pt>
                <c:pt idx="24">
                  <c:v>0.55</c:v>
                </c:pt>
                <c:pt idx="25">
                  <c:v>0.475</c:v>
                </c:pt>
                <c:pt idx="26">
                  <c:v>0.4</c:v>
                </c:pt>
                <c:pt idx="27">
                  <c:v>0.365</c:v>
                </c:pt>
                <c:pt idx="28">
                  <c:v>0.33</c:v>
                </c:pt>
                <c:pt idx="29">
                  <c:v>0.295</c:v>
                </c:pt>
                <c:pt idx="30">
                  <c:v>0.26</c:v>
                </c:pt>
                <c:pt idx="31">
                  <c:v>0.225</c:v>
                </c:pt>
                <c:pt idx="32">
                  <c:v>0.19</c:v>
                </c:pt>
                <c:pt idx="33">
                  <c:v>0.155</c:v>
                </c:pt>
                <c:pt idx="34">
                  <c:v>0.12</c:v>
                </c:pt>
                <c:pt idx="35">
                  <c:v>0.085</c:v>
                </c:pt>
                <c:pt idx="36">
                  <c:v>0.05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[1]三情景综合对比!$F$4</c:f>
              <c:strCache>
                <c:ptCount val="1"/>
                <c:pt idx="0">
                  <c:v>积极情景吨钢碳强度</c:v>
                </c:pt>
              </c:strCache>
            </c:strRef>
          </c:tx>
          <c:spPr>
            <a:ln w="47625" cap="rnd" cmpd="sng" algn="ctr">
              <a:solidFill>
                <a:srgbClr val="54823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[1]三情景综合对比!$A$5:$A$41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cat>
          <c:val>
            <c:numRef>
              <c:f>[1]三情景综合对比!$F$5:$F$41</c:f>
              <c:numCache>
                <c:formatCode>General</c:formatCode>
                <c:ptCount val="37"/>
                <c:pt idx="0">
                  <c:v>1.95</c:v>
                </c:pt>
                <c:pt idx="1">
                  <c:v>1.947</c:v>
                </c:pt>
                <c:pt idx="2">
                  <c:v>1.905</c:v>
                </c:pt>
                <c:pt idx="3">
                  <c:v>1.853</c:v>
                </c:pt>
                <c:pt idx="4">
                  <c:v>1.812</c:v>
                </c:pt>
                <c:pt idx="5">
                  <c:v>1.78</c:v>
                </c:pt>
                <c:pt idx="6">
                  <c:v>1.744</c:v>
                </c:pt>
                <c:pt idx="7">
                  <c:v>1.669</c:v>
                </c:pt>
                <c:pt idx="8">
                  <c:v>1.594</c:v>
                </c:pt>
                <c:pt idx="9">
                  <c:v>1.52</c:v>
                </c:pt>
                <c:pt idx="10">
                  <c:v>1.445</c:v>
                </c:pt>
                <c:pt idx="11">
                  <c:v>1.37</c:v>
                </c:pt>
                <c:pt idx="12">
                  <c:v>1.266</c:v>
                </c:pt>
                <c:pt idx="13">
                  <c:v>1.162</c:v>
                </c:pt>
                <c:pt idx="14">
                  <c:v>1.058</c:v>
                </c:pt>
                <c:pt idx="15">
                  <c:v>0.954</c:v>
                </c:pt>
                <c:pt idx="16">
                  <c:v>0.85</c:v>
                </c:pt>
                <c:pt idx="17">
                  <c:v>0.782</c:v>
                </c:pt>
                <c:pt idx="18">
                  <c:v>0.714</c:v>
                </c:pt>
                <c:pt idx="19">
                  <c:v>0.646</c:v>
                </c:pt>
                <c:pt idx="20">
                  <c:v>0.578</c:v>
                </c:pt>
                <c:pt idx="21">
                  <c:v>0.51</c:v>
                </c:pt>
                <c:pt idx="22">
                  <c:v>0.442</c:v>
                </c:pt>
                <c:pt idx="23">
                  <c:v>0.374</c:v>
                </c:pt>
                <c:pt idx="24">
                  <c:v>0.306</c:v>
                </c:pt>
                <c:pt idx="25">
                  <c:v>0.238</c:v>
                </c:pt>
                <c:pt idx="26">
                  <c:v>0.17</c:v>
                </c:pt>
                <c:pt idx="27">
                  <c:v>0.154</c:v>
                </c:pt>
                <c:pt idx="28">
                  <c:v>0.138</c:v>
                </c:pt>
                <c:pt idx="29">
                  <c:v>0.122</c:v>
                </c:pt>
                <c:pt idx="30">
                  <c:v>0.106</c:v>
                </c:pt>
                <c:pt idx="31">
                  <c:v>0.09</c:v>
                </c:pt>
                <c:pt idx="32">
                  <c:v>0.074</c:v>
                </c:pt>
                <c:pt idx="33">
                  <c:v>0.058</c:v>
                </c:pt>
                <c:pt idx="34">
                  <c:v>0.042</c:v>
                </c:pt>
                <c:pt idx="35">
                  <c:v>0.026</c:v>
                </c:pt>
                <c:pt idx="36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吨钢CO2强度 (tCO2/t)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74510d-1737-4413-aaa6-b16cd5d47366}"/>
      </c:ext>
    </c:extLst>
  </c:chart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42</xdr:row>
      <xdr:rowOff>0</xdr:rowOff>
    </xdr:from>
    <xdr:ext cx="11012170" cy="6329045"/>
    <xdr:graphicFrame>
      <xdr:nvGraphicFramePr>
        <xdr:cNvPr id="4" name="Chart 1"/>
        <xdr:cNvGraphicFramePr/>
      </xdr:nvGraphicFramePr>
      <xdr:xfrm>
        <a:off x="2040890" y="11323320"/>
        <a:ext cx="11012170" cy="6329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uxinying/Desktop/&#20943;&#30899;&#27169;&#22411;/&#38050;&#38081;&#27169;&#22411;&#29256;&#26412;/&#38050;&#38081;&#34892;&#19994;&#20943;&#30899;&#22522;&#20934;&#36335;&#24452;&#27169;&#22411;V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模型总览与设计逻辑"/>
      <sheetName val="积极情景（NZE路径）"/>
      <sheetName val="适度情景（2°C路径）"/>
      <sheetName val="保守情景（政策承诺）"/>
      <sheetName val="三情景综合对比"/>
      <sheetName val="金融机构目标设置（估算）"/>
      <sheetName val="低碳技术汇总"/>
      <sheetName val="可视化仪表板"/>
      <sheetName val="金融机构目标设置（企业）"/>
    </sheetNames>
    <sheetDataSet>
      <sheetData sheetId="0"/>
      <sheetData sheetId="1"/>
      <sheetData sheetId="2"/>
      <sheetData sheetId="3"/>
      <sheetData sheetId="4">
        <row r="4">
          <cell r="B4" t="str">
            <v>保守情景吨钢碳强度</v>
          </cell>
        </row>
        <row r="4">
          <cell r="D4" t="str">
            <v>适度情景吨钢碳强度</v>
          </cell>
        </row>
        <row r="4">
          <cell r="F4" t="str">
            <v>积极情景吨钢碳强度</v>
          </cell>
        </row>
        <row r="5">
          <cell r="A5">
            <v>2024</v>
          </cell>
          <cell r="B5">
            <v>1.95</v>
          </cell>
        </row>
        <row r="5">
          <cell r="D5">
            <v>1.95</v>
          </cell>
        </row>
        <row r="5">
          <cell r="F5">
            <v>1.95</v>
          </cell>
        </row>
        <row r="6">
          <cell r="A6">
            <v>2025</v>
          </cell>
          <cell r="B6">
            <v>1.958</v>
          </cell>
        </row>
        <row r="6">
          <cell r="D6">
            <v>1.954</v>
          </cell>
        </row>
        <row r="6">
          <cell r="F6">
            <v>1.947</v>
          </cell>
        </row>
        <row r="7">
          <cell r="A7">
            <v>2026</v>
          </cell>
          <cell r="B7">
            <v>1.941</v>
          </cell>
        </row>
        <row r="7">
          <cell r="D7">
            <v>1.923</v>
          </cell>
        </row>
        <row r="7">
          <cell r="F7">
            <v>1.905</v>
          </cell>
        </row>
        <row r="8">
          <cell r="A8">
            <v>2027</v>
          </cell>
          <cell r="B8">
            <v>1.924</v>
          </cell>
        </row>
        <row r="8">
          <cell r="D8">
            <v>1.891</v>
          </cell>
        </row>
        <row r="8">
          <cell r="F8">
            <v>1.853</v>
          </cell>
        </row>
        <row r="9">
          <cell r="A9">
            <v>2028</v>
          </cell>
          <cell r="B9">
            <v>1.907</v>
          </cell>
        </row>
        <row r="9">
          <cell r="D9">
            <v>1.86</v>
          </cell>
        </row>
        <row r="9">
          <cell r="F9">
            <v>1.812</v>
          </cell>
        </row>
        <row r="10">
          <cell r="A10">
            <v>2029</v>
          </cell>
          <cell r="B10">
            <v>1.891</v>
          </cell>
        </row>
        <row r="10">
          <cell r="D10">
            <v>1.829</v>
          </cell>
        </row>
        <row r="10">
          <cell r="F10">
            <v>1.78</v>
          </cell>
        </row>
        <row r="11">
          <cell r="A11">
            <v>2030</v>
          </cell>
          <cell r="B11">
            <v>1.874</v>
          </cell>
        </row>
        <row r="11">
          <cell r="D11">
            <v>1.798</v>
          </cell>
        </row>
        <row r="11">
          <cell r="F11">
            <v>1.744</v>
          </cell>
        </row>
        <row r="12">
          <cell r="A12">
            <v>2031</v>
          </cell>
          <cell r="B12">
            <v>1.849</v>
          </cell>
        </row>
        <row r="12">
          <cell r="D12">
            <v>1.76</v>
          </cell>
        </row>
        <row r="12">
          <cell r="F12">
            <v>1.669</v>
          </cell>
        </row>
        <row r="13">
          <cell r="A13">
            <v>2032</v>
          </cell>
          <cell r="B13">
            <v>1.825</v>
          </cell>
        </row>
        <row r="13">
          <cell r="D13">
            <v>1.722</v>
          </cell>
        </row>
        <row r="13">
          <cell r="F13">
            <v>1.594</v>
          </cell>
        </row>
        <row r="14">
          <cell r="A14">
            <v>2033</v>
          </cell>
          <cell r="B14">
            <v>1.8</v>
          </cell>
        </row>
        <row r="14">
          <cell r="D14">
            <v>1.684</v>
          </cell>
        </row>
        <row r="14">
          <cell r="F14">
            <v>1.52</v>
          </cell>
        </row>
        <row r="15">
          <cell r="A15">
            <v>2034</v>
          </cell>
          <cell r="B15">
            <v>1.776</v>
          </cell>
        </row>
        <row r="15">
          <cell r="D15">
            <v>1.646</v>
          </cell>
        </row>
        <row r="15">
          <cell r="F15">
            <v>1.445</v>
          </cell>
        </row>
        <row r="16">
          <cell r="A16">
            <v>2035</v>
          </cell>
          <cell r="B16">
            <v>1.751</v>
          </cell>
        </row>
        <row r="16">
          <cell r="D16">
            <v>1.607</v>
          </cell>
        </row>
        <row r="16">
          <cell r="F16">
            <v>1.37</v>
          </cell>
        </row>
        <row r="17">
          <cell r="A17">
            <v>2036</v>
          </cell>
          <cell r="B17">
            <v>1.691</v>
          </cell>
        </row>
        <row r="17">
          <cell r="D17">
            <v>1.516</v>
          </cell>
        </row>
        <row r="17">
          <cell r="F17">
            <v>1.266</v>
          </cell>
        </row>
        <row r="18">
          <cell r="A18">
            <v>2037</v>
          </cell>
          <cell r="B18">
            <v>1.631</v>
          </cell>
        </row>
        <row r="18">
          <cell r="D18">
            <v>1.424</v>
          </cell>
        </row>
        <row r="18">
          <cell r="F18">
            <v>1.162</v>
          </cell>
        </row>
        <row r="19">
          <cell r="A19">
            <v>2038</v>
          </cell>
          <cell r="B19">
            <v>1.571</v>
          </cell>
        </row>
        <row r="19">
          <cell r="D19">
            <v>1.333</v>
          </cell>
        </row>
        <row r="19">
          <cell r="F19">
            <v>1.058</v>
          </cell>
        </row>
        <row r="20">
          <cell r="A20">
            <v>2039</v>
          </cell>
          <cell r="B20">
            <v>1.51</v>
          </cell>
        </row>
        <row r="20">
          <cell r="D20">
            <v>1.241</v>
          </cell>
        </row>
        <row r="20">
          <cell r="F20">
            <v>0.954</v>
          </cell>
        </row>
        <row r="21">
          <cell r="A21">
            <v>2040</v>
          </cell>
          <cell r="B21">
            <v>1.45</v>
          </cell>
        </row>
        <row r="21">
          <cell r="D21">
            <v>1.15</v>
          </cell>
        </row>
        <row r="21">
          <cell r="F21">
            <v>0.85</v>
          </cell>
        </row>
        <row r="22">
          <cell r="A22">
            <v>2041</v>
          </cell>
          <cell r="B22">
            <v>1.38</v>
          </cell>
        </row>
        <row r="22">
          <cell r="D22">
            <v>1.075</v>
          </cell>
        </row>
        <row r="22">
          <cell r="F22">
            <v>0.782</v>
          </cell>
        </row>
        <row r="23">
          <cell r="A23">
            <v>2042</v>
          </cell>
          <cell r="B23">
            <v>1.31</v>
          </cell>
        </row>
        <row r="23">
          <cell r="D23">
            <v>1</v>
          </cell>
        </row>
        <row r="23">
          <cell r="F23">
            <v>0.714</v>
          </cell>
        </row>
        <row r="24">
          <cell r="A24">
            <v>2043</v>
          </cell>
          <cell r="B24">
            <v>1.24</v>
          </cell>
        </row>
        <row r="24">
          <cell r="D24">
            <v>0.925</v>
          </cell>
        </row>
        <row r="24">
          <cell r="F24">
            <v>0.646</v>
          </cell>
        </row>
        <row r="25">
          <cell r="A25">
            <v>2044</v>
          </cell>
          <cell r="B25">
            <v>1.17</v>
          </cell>
        </row>
        <row r="25">
          <cell r="D25">
            <v>0.85</v>
          </cell>
        </row>
        <row r="25">
          <cell r="F25">
            <v>0.578</v>
          </cell>
        </row>
        <row r="26">
          <cell r="A26">
            <v>2045</v>
          </cell>
          <cell r="B26">
            <v>1.1</v>
          </cell>
        </row>
        <row r="26">
          <cell r="D26">
            <v>0.775</v>
          </cell>
        </row>
        <row r="26">
          <cell r="F26">
            <v>0.51</v>
          </cell>
        </row>
        <row r="27">
          <cell r="A27">
            <v>2046</v>
          </cell>
          <cell r="B27">
            <v>1.03</v>
          </cell>
        </row>
        <row r="27">
          <cell r="D27">
            <v>0.7</v>
          </cell>
        </row>
        <row r="27">
          <cell r="F27">
            <v>0.442</v>
          </cell>
        </row>
        <row r="28">
          <cell r="A28">
            <v>2047</v>
          </cell>
          <cell r="B28">
            <v>0.96</v>
          </cell>
        </row>
        <row r="28">
          <cell r="D28">
            <v>0.625</v>
          </cell>
        </row>
        <row r="28">
          <cell r="F28">
            <v>0.374</v>
          </cell>
        </row>
        <row r="29">
          <cell r="A29">
            <v>2048</v>
          </cell>
          <cell r="B29">
            <v>0.89</v>
          </cell>
        </row>
        <row r="29">
          <cell r="D29">
            <v>0.55</v>
          </cell>
        </row>
        <row r="29">
          <cell r="F29">
            <v>0.306</v>
          </cell>
        </row>
        <row r="30">
          <cell r="A30">
            <v>2049</v>
          </cell>
          <cell r="B30">
            <v>0.82</v>
          </cell>
        </row>
        <row r="30">
          <cell r="D30">
            <v>0.475</v>
          </cell>
        </row>
        <row r="30">
          <cell r="F30">
            <v>0.238</v>
          </cell>
        </row>
        <row r="31">
          <cell r="A31">
            <v>2050</v>
          </cell>
          <cell r="B31">
            <v>0.75</v>
          </cell>
        </row>
        <row r="31">
          <cell r="D31">
            <v>0.4</v>
          </cell>
        </row>
        <row r="31">
          <cell r="F31">
            <v>0.17</v>
          </cell>
        </row>
        <row r="32">
          <cell r="A32">
            <v>2051</v>
          </cell>
          <cell r="B32">
            <v>0.687</v>
          </cell>
        </row>
        <row r="32">
          <cell r="D32">
            <v>0.365</v>
          </cell>
        </row>
        <row r="32">
          <cell r="F32">
            <v>0.154</v>
          </cell>
        </row>
        <row r="33">
          <cell r="A33">
            <v>2052</v>
          </cell>
          <cell r="B33">
            <v>0.624</v>
          </cell>
        </row>
        <row r="33">
          <cell r="D33">
            <v>0.33</v>
          </cell>
        </row>
        <row r="33">
          <cell r="F33">
            <v>0.138</v>
          </cell>
        </row>
        <row r="34">
          <cell r="A34">
            <v>2053</v>
          </cell>
          <cell r="B34">
            <v>0.561</v>
          </cell>
        </row>
        <row r="34">
          <cell r="D34">
            <v>0.295</v>
          </cell>
        </row>
        <row r="34">
          <cell r="F34">
            <v>0.122</v>
          </cell>
        </row>
        <row r="35">
          <cell r="A35">
            <v>2054</v>
          </cell>
          <cell r="B35">
            <v>0.498</v>
          </cell>
        </row>
        <row r="35">
          <cell r="D35">
            <v>0.26</v>
          </cell>
        </row>
        <row r="35">
          <cell r="F35">
            <v>0.106</v>
          </cell>
        </row>
        <row r="36">
          <cell r="A36">
            <v>2055</v>
          </cell>
          <cell r="B36">
            <v>0.435</v>
          </cell>
        </row>
        <row r="36">
          <cell r="D36">
            <v>0.225</v>
          </cell>
        </row>
        <row r="36">
          <cell r="F36">
            <v>0.09</v>
          </cell>
        </row>
        <row r="37">
          <cell r="A37">
            <v>2056</v>
          </cell>
          <cell r="B37">
            <v>0.372</v>
          </cell>
        </row>
        <row r="37">
          <cell r="D37">
            <v>0.19</v>
          </cell>
        </row>
        <row r="37">
          <cell r="F37">
            <v>0.074</v>
          </cell>
        </row>
        <row r="38">
          <cell r="A38">
            <v>2057</v>
          </cell>
          <cell r="B38">
            <v>0.309</v>
          </cell>
        </row>
        <row r="38">
          <cell r="D38">
            <v>0.155</v>
          </cell>
        </row>
        <row r="38">
          <cell r="F38">
            <v>0.058</v>
          </cell>
        </row>
        <row r="39">
          <cell r="A39">
            <v>2058</v>
          </cell>
          <cell r="B39">
            <v>0.246</v>
          </cell>
        </row>
        <row r="39">
          <cell r="D39">
            <v>0.12</v>
          </cell>
        </row>
        <row r="39">
          <cell r="F39">
            <v>0.042</v>
          </cell>
        </row>
        <row r="40">
          <cell r="A40">
            <v>2059</v>
          </cell>
          <cell r="B40">
            <v>0.183</v>
          </cell>
        </row>
        <row r="40">
          <cell r="D40">
            <v>0.085</v>
          </cell>
        </row>
        <row r="40">
          <cell r="F40">
            <v>0.026</v>
          </cell>
        </row>
        <row r="41">
          <cell r="A41">
            <v>2060</v>
          </cell>
          <cell r="B41">
            <v>0.12</v>
          </cell>
        </row>
        <row r="41">
          <cell r="D41">
            <v>0.05</v>
          </cell>
        </row>
        <row r="41">
          <cell r="F41">
            <v>0.01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H50"/>
  <sheetViews>
    <sheetView workbookViewId="0">
      <selection activeCell="A1" sqref="A1:H1"/>
    </sheetView>
  </sheetViews>
  <sheetFormatPr defaultColWidth="9" defaultRowHeight="16.8" outlineLevelCol="7"/>
  <cols>
    <col min="1" max="1" width="32" customWidth="1"/>
    <col min="2" max="8" width="18" customWidth="1"/>
  </cols>
  <sheetData>
    <row r="1" ht="20.4" spans="1:8">
      <c r="A1" s="1" t="s">
        <v>0</v>
      </c>
      <c r="B1" s="2"/>
      <c r="C1" s="2"/>
      <c r="D1" s="2"/>
      <c r="E1" s="2"/>
      <c r="F1" s="2"/>
      <c r="G1" s="2"/>
      <c r="H1" s="11"/>
    </row>
    <row r="2" spans="1:8">
      <c r="A2" s="13" t="s">
        <v>1</v>
      </c>
      <c r="B2" s="2"/>
      <c r="C2" s="2"/>
      <c r="D2" s="2"/>
      <c r="E2" s="2"/>
      <c r="F2" s="2"/>
      <c r="G2" s="2"/>
      <c r="H2" s="11"/>
    </row>
    <row r="4" ht="17.6" spans="1:8">
      <c r="A4" s="3" t="s">
        <v>2</v>
      </c>
      <c r="B4" s="4"/>
      <c r="C4" s="4"/>
      <c r="D4" s="4"/>
      <c r="E4" s="4"/>
      <c r="F4" s="4"/>
      <c r="G4" s="4"/>
      <c r="H4" s="4"/>
    </row>
    <row r="5" spans="1:8">
      <c r="A5" s="7" t="s">
        <v>3</v>
      </c>
      <c r="B5" s="2"/>
      <c r="C5" s="2"/>
      <c r="D5" s="2"/>
      <c r="E5" s="2"/>
      <c r="F5" s="2"/>
      <c r="G5" s="2"/>
      <c r="H5" s="11"/>
    </row>
    <row r="6" spans="1:8">
      <c r="A6" s="7" t="s">
        <v>4</v>
      </c>
      <c r="B6" s="2"/>
      <c r="C6" s="2"/>
      <c r="D6" s="2"/>
      <c r="E6" s="2"/>
      <c r="F6" s="2"/>
      <c r="G6" s="2"/>
      <c r="H6" s="11"/>
    </row>
    <row r="7" spans="1:8">
      <c r="A7" s="7" t="s">
        <v>5</v>
      </c>
      <c r="B7" s="2"/>
      <c r="C7" s="2"/>
      <c r="D7" s="2"/>
      <c r="E7" s="2"/>
      <c r="F7" s="2"/>
      <c r="G7" s="2"/>
      <c r="H7" s="11"/>
    </row>
    <row r="9" ht="17.6" spans="1:8">
      <c r="A9" s="3" t="s">
        <v>6</v>
      </c>
      <c r="B9" s="4"/>
      <c r="C9" s="4"/>
      <c r="D9" s="4"/>
      <c r="E9" s="4"/>
      <c r="F9" s="4"/>
      <c r="G9" s="4"/>
      <c r="H9" s="4"/>
    </row>
    <row r="10" spans="1:8">
      <c r="A10" s="7" t="s">
        <v>7</v>
      </c>
      <c r="B10" s="2"/>
      <c r="C10" s="2"/>
      <c r="D10" s="2"/>
      <c r="E10" s="2"/>
      <c r="F10" s="2"/>
      <c r="G10" s="2"/>
      <c r="H10" s="11"/>
    </row>
    <row r="11" spans="1:8">
      <c r="A11" s="7" t="s">
        <v>8</v>
      </c>
      <c r="B11" s="2"/>
      <c r="C11" s="2"/>
      <c r="D11" s="2"/>
      <c r="E11" s="2"/>
      <c r="F11" s="2"/>
      <c r="G11" s="2"/>
      <c r="H11" s="11"/>
    </row>
    <row r="12" spans="1:8">
      <c r="A12" s="7" t="s">
        <v>9</v>
      </c>
      <c r="B12" s="2"/>
      <c r="C12" s="2"/>
      <c r="D12" s="2"/>
      <c r="E12" s="2"/>
      <c r="F12" s="2"/>
      <c r="G12" s="2"/>
      <c r="H12" s="11"/>
    </row>
    <row r="13" spans="1:8">
      <c r="A13" s="7" t="s">
        <v>10</v>
      </c>
      <c r="B13" s="2"/>
      <c r="C13" s="2"/>
      <c r="D13" s="2"/>
      <c r="E13" s="2"/>
      <c r="F13" s="2"/>
      <c r="G13" s="2"/>
      <c r="H13" s="11"/>
    </row>
    <row r="14" spans="1:8">
      <c r="A14" s="7" t="s">
        <v>11</v>
      </c>
      <c r="B14" s="2"/>
      <c r="C14" s="2"/>
      <c r="D14" s="2"/>
      <c r="E14" s="2"/>
      <c r="F14" s="2"/>
      <c r="G14" s="2"/>
      <c r="H14" s="11"/>
    </row>
    <row r="15" spans="1:8">
      <c r="A15" s="7" t="s">
        <v>12</v>
      </c>
      <c r="B15" s="2"/>
      <c r="C15" s="2"/>
      <c r="D15" s="2"/>
      <c r="E15" s="2"/>
      <c r="F15" s="2"/>
      <c r="G15" s="2"/>
      <c r="H15" s="11"/>
    </row>
    <row r="16" spans="1:8">
      <c r="A16" s="7" t="s">
        <v>13</v>
      </c>
      <c r="B16" s="2"/>
      <c r="C16" s="2"/>
      <c r="D16" s="2"/>
      <c r="E16" s="2"/>
      <c r="F16" s="2"/>
      <c r="G16" s="2"/>
      <c r="H16" s="11"/>
    </row>
    <row r="17" ht="17.6" spans="1:8">
      <c r="A17" s="3" t="s">
        <v>14</v>
      </c>
      <c r="B17" s="4"/>
      <c r="C17" s="4"/>
      <c r="D17" s="4"/>
      <c r="E17" s="4"/>
      <c r="F17" s="4"/>
      <c r="G17" s="4"/>
      <c r="H17" s="4"/>
    </row>
    <row r="18" ht="17" spans="1:4">
      <c r="A18" s="5" t="s">
        <v>15</v>
      </c>
      <c r="B18" s="38" t="s">
        <v>16</v>
      </c>
      <c r="C18" s="39" t="s">
        <v>17</v>
      </c>
      <c r="D18" s="40" t="s">
        <v>18</v>
      </c>
    </row>
    <row r="19" spans="1:4">
      <c r="A19" s="7" t="s">
        <v>19</v>
      </c>
      <c r="B19" s="6" t="s">
        <v>20</v>
      </c>
      <c r="C19" s="6" t="s">
        <v>20</v>
      </c>
      <c r="D19" s="6" t="s">
        <v>20</v>
      </c>
    </row>
    <row r="20" spans="1:4">
      <c r="A20" s="7" t="s">
        <v>21</v>
      </c>
      <c r="B20" s="6" t="s">
        <v>22</v>
      </c>
      <c r="C20" s="6" t="s">
        <v>22</v>
      </c>
      <c r="D20" s="6" t="s">
        <v>22</v>
      </c>
    </row>
    <row r="21" spans="1:4">
      <c r="A21" s="7" t="s">
        <v>23</v>
      </c>
      <c r="B21" s="6" t="s">
        <v>24</v>
      </c>
      <c r="C21" s="6" t="s">
        <v>25</v>
      </c>
      <c r="D21" s="6" t="s">
        <v>26</v>
      </c>
    </row>
    <row r="22" spans="1:4">
      <c r="A22" s="7" t="s">
        <v>27</v>
      </c>
      <c r="B22" s="6" t="s">
        <v>28</v>
      </c>
      <c r="C22" s="6" t="s">
        <v>29</v>
      </c>
      <c r="D22" s="6" t="s">
        <v>30</v>
      </c>
    </row>
    <row r="23" spans="1:4">
      <c r="A23" s="7" t="s">
        <v>31</v>
      </c>
      <c r="B23" s="6" t="s">
        <v>32</v>
      </c>
      <c r="C23" s="6" t="s">
        <v>33</v>
      </c>
      <c r="D23" s="6" t="s">
        <v>34</v>
      </c>
    </row>
    <row r="24" spans="1:4">
      <c r="A24" s="7" t="s">
        <v>35</v>
      </c>
      <c r="B24" s="6" t="s">
        <v>36</v>
      </c>
      <c r="C24" s="6" t="s">
        <v>37</v>
      </c>
      <c r="D24" s="6" t="s">
        <v>38</v>
      </c>
    </row>
    <row r="25" spans="1:4">
      <c r="A25" s="7" t="s">
        <v>39</v>
      </c>
      <c r="B25" s="6" t="s">
        <v>40</v>
      </c>
      <c r="C25" s="6" t="s">
        <v>41</v>
      </c>
      <c r="D25" s="6" t="s">
        <v>42</v>
      </c>
    </row>
    <row r="27" ht="17.6" spans="1:8">
      <c r="A27" s="3" t="s">
        <v>43</v>
      </c>
      <c r="B27" s="4"/>
      <c r="C27" s="4"/>
      <c r="D27" s="4"/>
      <c r="E27" s="4"/>
      <c r="F27" s="4"/>
      <c r="G27" s="4"/>
      <c r="H27" s="4"/>
    </row>
    <row r="28" spans="1:4">
      <c r="A28" s="7" t="s">
        <v>44</v>
      </c>
      <c r="B28" s="30" t="s">
        <v>45</v>
      </c>
      <c r="C28" s="7" t="s">
        <v>46</v>
      </c>
      <c r="D28" s="30" t="s">
        <v>47</v>
      </c>
    </row>
    <row r="29" spans="1:4">
      <c r="A29" s="7" t="s">
        <v>48</v>
      </c>
      <c r="B29" s="30" t="s">
        <v>49</v>
      </c>
      <c r="C29" s="7" t="s">
        <v>50</v>
      </c>
      <c r="D29" s="30" t="s">
        <v>51</v>
      </c>
    </row>
    <row r="30" spans="1:4">
      <c r="A30" s="7" t="s">
        <v>52</v>
      </c>
      <c r="B30" s="30" t="s">
        <v>53</v>
      </c>
      <c r="C30" s="7" t="s">
        <v>54</v>
      </c>
      <c r="D30" s="30" t="s">
        <v>55</v>
      </c>
    </row>
    <row r="31" spans="1:4">
      <c r="A31" s="7" t="s">
        <v>56</v>
      </c>
      <c r="B31" s="30" t="s">
        <v>57</v>
      </c>
      <c r="C31" s="7" t="s">
        <v>58</v>
      </c>
      <c r="D31" s="30" t="s">
        <v>59</v>
      </c>
    </row>
    <row r="32" spans="1:4">
      <c r="A32" s="7" t="s">
        <v>60</v>
      </c>
      <c r="B32" s="30" t="s">
        <v>61</v>
      </c>
      <c r="C32" s="7" t="s">
        <v>62</v>
      </c>
      <c r="D32" s="30" t="s">
        <v>63</v>
      </c>
    </row>
    <row r="33" spans="1:4">
      <c r="A33" s="7" t="s">
        <v>64</v>
      </c>
      <c r="B33" s="30" t="s">
        <v>65</v>
      </c>
      <c r="C33" s="7" t="s">
        <v>66</v>
      </c>
      <c r="D33" s="30" t="s">
        <v>67</v>
      </c>
    </row>
    <row r="34" ht="31" spans="1:4">
      <c r="A34" s="7" t="s">
        <v>68</v>
      </c>
      <c r="B34" s="30" t="s">
        <v>69</v>
      </c>
      <c r="C34" s="7" t="s">
        <v>70</v>
      </c>
      <c r="D34" s="30" t="s">
        <v>71</v>
      </c>
    </row>
    <row r="35" ht="31" spans="3:4">
      <c r="C35" s="7" t="s">
        <v>72</v>
      </c>
      <c r="D35" s="30" t="s">
        <v>73</v>
      </c>
    </row>
    <row r="36" ht="31" spans="3:4">
      <c r="C36" s="7" t="s">
        <v>74</v>
      </c>
      <c r="D36" s="30" t="s">
        <v>75</v>
      </c>
    </row>
    <row r="37" ht="31" spans="3:4">
      <c r="C37" s="7" t="s">
        <v>76</v>
      </c>
      <c r="D37" s="30" t="s">
        <v>67</v>
      </c>
    </row>
    <row r="38" ht="31" spans="3:4">
      <c r="C38" s="7" t="s">
        <v>77</v>
      </c>
      <c r="D38" s="30" t="s">
        <v>78</v>
      </c>
    </row>
    <row r="39" ht="31" spans="3:4">
      <c r="C39" s="7" t="s">
        <v>79</v>
      </c>
      <c r="D39" s="30" t="s">
        <v>80</v>
      </c>
    </row>
    <row r="40" ht="31" spans="3:4">
      <c r="C40" s="7" t="s">
        <v>81</v>
      </c>
      <c r="D40" s="30" t="s">
        <v>82</v>
      </c>
    </row>
    <row r="41" ht="31" spans="3:4">
      <c r="C41" s="7" t="s">
        <v>83</v>
      </c>
      <c r="D41" s="30" t="s">
        <v>84</v>
      </c>
    </row>
    <row r="43" ht="17.6" spans="1:8">
      <c r="A43" s="3" t="s">
        <v>85</v>
      </c>
      <c r="B43" s="4"/>
      <c r="C43" s="4"/>
      <c r="D43" s="4"/>
      <c r="E43" s="4"/>
      <c r="F43" s="4"/>
      <c r="G43" s="4"/>
      <c r="H43" s="4"/>
    </row>
    <row r="44" ht="31" spans="1:8">
      <c r="A44" s="6" t="s">
        <v>86</v>
      </c>
      <c r="B44" s="6" t="s">
        <v>87</v>
      </c>
      <c r="C44" s="7" t="s">
        <v>88</v>
      </c>
      <c r="D44" s="2"/>
      <c r="E44" s="2"/>
      <c r="F44" s="2"/>
      <c r="G44" s="2"/>
      <c r="H44" s="11"/>
    </row>
    <row r="45" spans="1:8">
      <c r="A45" s="6" t="s">
        <v>89</v>
      </c>
      <c r="B45" s="6" t="s">
        <v>90</v>
      </c>
      <c r="C45" s="7" t="s">
        <v>91</v>
      </c>
      <c r="D45" s="2"/>
      <c r="E45" s="2"/>
      <c r="F45" s="2"/>
      <c r="G45" s="2"/>
      <c r="H45" s="11"/>
    </row>
    <row r="46" spans="1:8">
      <c r="A46" s="6" t="s">
        <v>92</v>
      </c>
      <c r="B46" s="6" t="s">
        <v>93</v>
      </c>
      <c r="C46" s="7" t="s">
        <v>94</v>
      </c>
      <c r="D46" s="2"/>
      <c r="E46" s="2"/>
      <c r="F46" s="2"/>
      <c r="G46" s="2"/>
      <c r="H46" s="11"/>
    </row>
    <row r="47" spans="1:8">
      <c r="A47" s="6" t="s">
        <v>95</v>
      </c>
      <c r="B47" s="6" t="s">
        <v>96</v>
      </c>
      <c r="C47" s="7" t="s">
        <v>97</v>
      </c>
      <c r="D47" s="2"/>
      <c r="E47" s="2"/>
      <c r="F47" s="2"/>
      <c r="G47" s="2"/>
      <c r="H47" s="11"/>
    </row>
    <row r="48" spans="1:8">
      <c r="A48" s="6" t="s">
        <v>98</v>
      </c>
      <c r="B48" s="6" t="s">
        <v>99</v>
      </c>
      <c r="C48" s="7" t="s">
        <v>100</v>
      </c>
      <c r="D48" s="2"/>
      <c r="E48" s="2"/>
      <c r="F48" s="2"/>
      <c r="G48" s="2"/>
      <c r="H48" s="11"/>
    </row>
    <row r="49" spans="1:8">
      <c r="A49" s="6" t="s">
        <v>101</v>
      </c>
      <c r="B49" s="6" t="s">
        <v>102</v>
      </c>
      <c r="C49" s="7" t="s">
        <v>103</v>
      </c>
      <c r="D49" s="2"/>
      <c r="E49" s="2"/>
      <c r="F49" s="2"/>
      <c r="G49" s="2"/>
      <c r="H49" s="11"/>
    </row>
    <row r="50" spans="1:8">
      <c r="A50" s="6" t="s">
        <v>104</v>
      </c>
      <c r="B50" s="6" t="s">
        <v>105</v>
      </c>
      <c r="C50" s="7" t="s">
        <v>106</v>
      </c>
      <c r="D50" s="2"/>
      <c r="E50" s="2"/>
      <c r="F50" s="2"/>
      <c r="G50" s="2"/>
      <c r="H50" s="11"/>
    </row>
  </sheetData>
  <mergeCells count="24">
    <mergeCell ref="A1:H1"/>
    <mergeCell ref="A2:H2"/>
    <mergeCell ref="A4:H4"/>
    <mergeCell ref="A5:H5"/>
    <mergeCell ref="A6:H6"/>
    <mergeCell ref="A7:H7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27:H27"/>
    <mergeCell ref="A43:H43"/>
    <mergeCell ref="C44:H44"/>
    <mergeCell ref="C45:H45"/>
    <mergeCell ref="C46:H46"/>
    <mergeCell ref="C47:H47"/>
    <mergeCell ref="C48:H48"/>
    <mergeCell ref="C49:H49"/>
    <mergeCell ref="C50:H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Q65"/>
  <sheetViews>
    <sheetView workbookViewId="0">
      <selection activeCell="A12" sqref="A12:AM12"/>
    </sheetView>
  </sheetViews>
  <sheetFormatPr defaultColWidth="9" defaultRowHeight="16.8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ht="20.4" spans="1:10">
      <c r="A1" s="1" t="s">
        <v>107</v>
      </c>
      <c r="B1" s="2"/>
      <c r="C1" s="2"/>
      <c r="D1" s="2"/>
      <c r="E1" s="2"/>
      <c r="F1" s="2"/>
      <c r="G1" s="2"/>
      <c r="H1" s="2"/>
      <c r="I1" s="2"/>
      <c r="J1" s="11"/>
    </row>
    <row r="2" spans="1:10">
      <c r="A2" s="13" t="s">
        <v>108</v>
      </c>
      <c r="B2" s="2"/>
      <c r="C2" s="2"/>
      <c r="D2" s="2"/>
      <c r="E2" s="2"/>
      <c r="F2" s="2"/>
      <c r="G2" s="2"/>
      <c r="H2" s="2"/>
      <c r="I2" s="2"/>
      <c r="J2" s="11"/>
    </row>
    <row r="4" ht="17" spans="1:43">
      <c r="A4" s="5" t="s">
        <v>15</v>
      </c>
      <c r="B4" s="5" t="s">
        <v>109</v>
      </c>
      <c r="C4" s="5">
        <v>2024</v>
      </c>
      <c r="D4" s="5">
        <v>2025</v>
      </c>
      <c r="E4" s="5">
        <v>2026</v>
      </c>
      <c r="F4" s="5">
        <v>2027</v>
      </c>
      <c r="G4" s="5">
        <v>2028</v>
      </c>
      <c r="H4" s="5">
        <v>2029</v>
      </c>
      <c r="I4" s="5">
        <v>2030</v>
      </c>
      <c r="J4" s="5">
        <v>2031</v>
      </c>
      <c r="K4" s="5">
        <v>2032</v>
      </c>
      <c r="L4" s="5">
        <v>2033</v>
      </c>
      <c r="M4" s="5">
        <v>2034</v>
      </c>
      <c r="N4" s="5">
        <v>2035</v>
      </c>
      <c r="O4" s="5">
        <v>2036</v>
      </c>
      <c r="P4" s="5">
        <v>2037</v>
      </c>
      <c r="Q4" s="5">
        <v>2038</v>
      </c>
      <c r="R4" s="5">
        <v>2039</v>
      </c>
      <c r="S4" s="5">
        <v>2040</v>
      </c>
      <c r="T4" s="5">
        <v>2041</v>
      </c>
      <c r="U4" s="5">
        <v>2042</v>
      </c>
      <c r="V4" s="5">
        <v>2043</v>
      </c>
      <c r="W4" s="5">
        <v>2044</v>
      </c>
      <c r="X4" s="5">
        <v>2045</v>
      </c>
      <c r="Y4" s="5">
        <v>2046</v>
      </c>
      <c r="Z4" s="5">
        <v>2047</v>
      </c>
      <c r="AA4" s="5">
        <v>2048</v>
      </c>
      <c r="AB4" s="5">
        <v>2049</v>
      </c>
      <c r="AC4" s="5">
        <v>2050</v>
      </c>
      <c r="AD4" s="5">
        <v>2051</v>
      </c>
      <c r="AE4" s="5">
        <v>2052</v>
      </c>
      <c r="AF4" s="5">
        <v>2053</v>
      </c>
      <c r="AG4" s="5">
        <v>2054</v>
      </c>
      <c r="AH4" s="5">
        <v>2055</v>
      </c>
      <c r="AI4" s="5">
        <v>2056</v>
      </c>
      <c r="AJ4" s="5">
        <v>2057</v>
      </c>
      <c r="AK4" s="5">
        <v>2058</v>
      </c>
      <c r="AL4" s="5">
        <v>2059</v>
      </c>
      <c r="AM4" s="5">
        <v>2060</v>
      </c>
      <c r="AP4" s="36" t="s">
        <v>110</v>
      </c>
      <c r="AQ4" s="11"/>
    </row>
    <row r="5" ht="17.6" spans="1:43">
      <c r="A5" s="3" t="s">
        <v>111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P5" s="5" t="s">
        <v>112</v>
      </c>
      <c r="AQ5" s="5" t="s">
        <v>113</v>
      </c>
    </row>
    <row r="6" spans="1:43">
      <c r="A6" s="20" t="s">
        <v>114</v>
      </c>
      <c r="B6" s="12" t="s">
        <v>115</v>
      </c>
      <c r="C6" s="21">
        <v>4.9</v>
      </c>
      <c r="D6" s="21">
        <v>4.5</v>
      </c>
      <c r="E6" s="21">
        <v>4.3</v>
      </c>
      <c r="F6" s="21">
        <v>4.1</v>
      </c>
      <c r="G6" s="21">
        <v>3.9</v>
      </c>
      <c r="H6" s="21">
        <v>3.7</v>
      </c>
      <c r="I6" s="21">
        <v>3.5</v>
      </c>
      <c r="J6" s="21">
        <v>3.3</v>
      </c>
      <c r="K6" s="21">
        <v>3.1</v>
      </c>
      <c r="L6" s="21">
        <v>3</v>
      </c>
      <c r="M6" s="21">
        <v>2.8</v>
      </c>
      <c r="N6" s="21">
        <v>2.7</v>
      </c>
      <c r="O6" s="21">
        <v>2.5</v>
      </c>
      <c r="P6" s="21">
        <v>2.4</v>
      </c>
      <c r="Q6" s="21">
        <v>2.2</v>
      </c>
      <c r="R6" s="21">
        <v>2.1</v>
      </c>
      <c r="S6" s="21">
        <v>2</v>
      </c>
      <c r="T6" s="21">
        <v>1.8</v>
      </c>
      <c r="U6" s="21">
        <v>1.7</v>
      </c>
      <c r="V6" s="21">
        <v>1.6</v>
      </c>
      <c r="W6" s="21">
        <v>1.5</v>
      </c>
      <c r="X6" s="21">
        <v>1.5</v>
      </c>
      <c r="Y6" s="21">
        <v>1.3</v>
      </c>
      <c r="Z6" s="21">
        <v>1.2</v>
      </c>
      <c r="AA6" s="21">
        <v>1.1</v>
      </c>
      <c r="AB6" s="21">
        <v>1</v>
      </c>
      <c r="AC6" s="21">
        <v>1</v>
      </c>
      <c r="AD6" s="21">
        <v>0.8</v>
      </c>
      <c r="AE6" s="21">
        <v>0.7</v>
      </c>
      <c r="AF6" s="21">
        <v>0.6</v>
      </c>
      <c r="AG6" s="21">
        <v>0.6</v>
      </c>
      <c r="AH6" s="21">
        <v>0.5</v>
      </c>
      <c r="AI6" s="21">
        <v>0.4</v>
      </c>
      <c r="AJ6" s="21">
        <v>0.4</v>
      </c>
      <c r="AK6" s="21">
        <v>0.3</v>
      </c>
      <c r="AL6" s="21">
        <v>0.3</v>
      </c>
      <c r="AM6" s="21">
        <v>0.2</v>
      </c>
      <c r="AP6" s="7" t="s">
        <v>44</v>
      </c>
      <c r="AQ6" s="37" t="s">
        <v>45</v>
      </c>
    </row>
    <row r="7" spans="1:43">
      <c r="A7" s="20" t="s">
        <v>116</v>
      </c>
      <c r="B7" s="12" t="s">
        <v>117</v>
      </c>
      <c r="C7" s="22">
        <v>124.92</v>
      </c>
      <c r="D7" s="22">
        <v>130.54</v>
      </c>
      <c r="E7" s="22">
        <v>135.627666872074</v>
      </c>
      <c r="F7" s="22">
        <v>140.913620508368</v>
      </c>
      <c r="G7" s="22">
        <v>146.405588938615</v>
      </c>
      <c r="H7" s="22">
        <v>152.111601384834</v>
      </c>
      <c r="I7" s="22">
        <v>158.04</v>
      </c>
      <c r="J7" s="22">
        <v>162.748904063458</v>
      </c>
      <c r="K7" s="22">
        <v>167.598112970493</v>
      </c>
      <c r="L7" s="22">
        <v>172.591807194706</v>
      </c>
      <c r="M7" s="22">
        <v>177.734291769616</v>
      </c>
      <c r="N7" s="22">
        <v>183.03</v>
      </c>
      <c r="O7" s="22">
        <v>187.130140285199</v>
      </c>
      <c r="P7" s="22">
        <v>191.322129722769</v>
      </c>
      <c r="Q7" s="22">
        <v>195.608025868354</v>
      </c>
      <c r="R7" s="22">
        <v>199.989932369863</v>
      </c>
      <c r="S7" s="22">
        <v>204.47</v>
      </c>
      <c r="T7" s="22">
        <v>207.272656009724</v>
      </c>
      <c r="U7" s="22">
        <v>210.113727829635</v>
      </c>
      <c r="V7" s="22">
        <v>212.993742022559</v>
      </c>
      <c r="W7" s="22">
        <v>215.913232368884</v>
      </c>
      <c r="X7" s="22">
        <v>218.872739965488</v>
      </c>
      <c r="Y7" s="22">
        <v>221.872813326025</v>
      </c>
      <c r="Z7" s="22">
        <v>224.914008482589</v>
      </c>
      <c r="AA7" s="22">
        <v>227.996889088765</v>
      </c>
      <c r="AB7" s="22">
        <v>231.1220265241</v>
      </c>
      <c r="AC7" s="22">
        <v>234.29</v>
      </c>
      <c r="AD7" s="22">
        <v>235.41536136499</v>
      </c>
      <c r="AE7" s="22">
        <v>236.546128160009</v>
      </c>
      <c r="AF7" s="22">
        <v>237.682326348874</v>
      </c>
      <c r="AG7" s="22">
        <v>238.82398202011</v>
      </c>
      <c r="AH7" s="22">
        <v>239.971121387554</v>
      </c>
      <c r="AI7" s="22">
        <v>241.123770790954</v>
      </c>
      <c r="AJ7" s="22">
        <v>242.281956696579</v>
      </c>
      <c r="AK7" s="22">
        <v>243.445705697818</v>
      </c>
      <c r="AL7" s="22">
        <v>244.6150445158</v>
      </c>
      <c r="AM7" s="22">
        <v>245.79</v>
      </c>
      <c r="AP7" s="7" t="s">
        <v>48</v>
      </c>
      <c r="AQ7" s="37" t="s">
        <v>49</v>
      </c>
    </row>
    <row r="8" spans="1:43">
      <c r="A8" s="20" t="s">
        <v>118</v>
      </c>
      <c r="B8" s="12" t="s">
        <v>119</v>
      </c>
      <c r="C8" s="22">
        <v>14.08</v>
      </c>
      <c r="D8" s="22">
        <v>14.08</v>
      </c>
      <c r="E8" s="22">
        <v>14.0539034418663</v>
      </c>
      <c r="F8" s="22">
        <v>14.0278552523652</v>
      </c>
      <c r="G8" s="22">
        <v>14.0018553418479</v>
      </c>
      <c r="H8" s="22">
        <v>13.9759036208318</v>
      </c>
      <c r="I8" s="22">
        <v>13.95</v>
      </c>
      <c r="J8" s="22">
        <v>13.9097686160443</v>
      </c>
      <c r="K8" s="22">
        <v>13.8696532582</v>
      </c>
      <c r="L8" s="22">
        <v>13.8296535918514</v>
      </c>
      <c r="M8" s="22">
        <v>13.7897692833476</v>
      </c>
      <c r="N8" s="22">
        <v>13.75</v>
      </c>
      <c r="O8" s="22">
        <v>13.6996323454979</v>
      </c>
      <c r="P8" s="22">
        <v>13.6494491928591</v>
      </c>
      <c r="Q8" s="22">
        <v>13.5994498662344</v>
      </c>
      <c r="R8" s="22">
        <v>13.5496336922503</v>
      </c>
      <c r="S8" s="22">
        <v>13.5</v>
      </c>
      <c r="T8" s="22">
        <v>13.434592209784</v>
      </c>
      <c r="U8" s="22">
        <v>13.3695013217176</v>
      </c>
      <c r="V8" s="22">
        <v>13.3047258004033</v>
      </c>
      <c r="W8" s="22">
        <v>13.2402641178822</v>
      </c>
      <c r="X8" s="22">
        <v>13.1761147535987</v>
      </c>
      <c r="Y8" s="22">
        <v>13.1122761943641</v>
      </c>
      <c r="Z8" s="22">
        <v>13.0487469343215</v>
      </c>
      <c r="AA8" s="22">
        <v>12.9855254749095</v>
      </c>
      <c r="AB8" s="22">
        <v>12.9226103248274</v>
      </c>
      <c r="AC8" s="22">
        <v>12.86</v>
      </c>
      <c r="AD8" s="22">
        <v>12.7829557644941</v>
      </c>
      <c r="AE8" s="22">
        <v>12.7063731008563</v>
      </c>
      <c r="AF8" s="22">
        <v>12.6302492438105</v>
      </c>
      <c r="AG8" s="22">
        <v>12.5545814446473</v>
      </c>
      <c r="AH8" s="22">
        <v>12.4793669711248</v>
      </c>
      <c r="AI8" s="22">
        <v>12.4046031073698</v>
      </c>
      <c r="AJ8" s="22">
        <v>12.3302871537803</v>
      </c>
      <c r="AK8" s="22">
        <v>12.2564164269271</v>
      </c>
      <c r="AL8" s="22">
        <v>12.1829882594578</v>
      </c>
      <c r="AM8" s="22">
        <v>12.11</v>
      </c>
      <c r="AP8" s="7" t="s">
        <v>52</v>
      </c>
      <c r="AQ8" s="37" t="s">
        <v>53</v>
      </c>
    </row>
    <row r="9" spans="1:43">
      <c r="A9" s="20" t="s">
        <v>120</v>
      </c>
      <c r="B9" s="12" t="s">
        <v>121</v>
      </c>
      <c r="C9" s="22">
        <v>106.5</v>
      </c>
      <c r="D9" s="22">
        <v>108</v>
      </c>
      <c r="E9" s="22">
        <v>110</v>
      </c>
      <c r="F9" s="22">
        <v>112</v>
      </c>
      <c r="G9" s="22">
        <v>115</v>
      </c>
      <c r="H9" s="22">
        <v>117</v>
      </c>
      <c r="I9" s="22">
        <v>118</v>
      </c>
      <c r="J9" s="22">
        <v>117</v>
      </c>
      <c r="K9" s="22">
        <v>115.5</v>
      </c>
      <c r="L9" s="22">
        <v>113.5</v>
      </c>
      <c r="M9" s="22">
        <v>111</v>
      </c>
      <c r="N9" s="22">
        <v>109</v>
      </c>
      <c r="O9" s="22">
        <v>106.5</v>
      </c>
      <c r="P9" s="22">
        <v>103.5</v>
      </c>
      <c r="Q9" s="22">
        <v>100</v>
      </c>
      <c r="R9" s="22">
        <v>96</v>
      </c>
      <c r="S9" s="22">
        <v>92</v>
      </c>
      <c r="T9" s="22">
        <v>87.5</v>
      </c>
      <c r="U9" s="22">
        <v>83</v>
      </c>
      <c r="V9" s="22">
        <v>78.5</v>
      </c>
      <c r="W9" s="22">
        <v>74</v>
      </c>
      <c r="X9" s="22">
        <v>69.5</v>
      </c>
      <c r="Y9" s="22">
        <v>65</v>
      </c>
      <c r="Z9" s="22">
        <v>60.5</v>
      </c>
      <c r="AA9" s="22">
        <v>56</v>
      </c>
      <c r="AB9" s="22">
        <v>51.5</v>
      </c>
      <c r="AC9" s="22">
        <v>47</v>
      </c>
      <c r="AD9" s="22">
        <v>43</v>
      </c>
      <c r="AE9" s="22">
        <v>39</v>
      </c>
      <c r="AF9" s="22">
        <v>35.5</v>
      </c>
      <c r="AG9" s="22">
        <v>32</v>
      </c>
      <c r="AH9" s="22">
        <v>29</v>
      </c>
      <c r="AI9" s="22">
        <v>26.5</v>
      </c>
      <c r="AJ9" s="22">
        <v>24.5</v>
      </c>
      <c r="AK9" s="22">
        <v>23</v>
      </c>
      <c r="AL9" s="22">
        <v>22</v>
      </c>
      <c r="AM9" s="22">
        <v>21</v>
      </c>
      <c r="AP9" s="7" t="s">
        <v>56</v>
      </c>
      <c r="AQ9" s="37" t="s">
        <v>57</v>
      </c>
    </row>
    <row r="10" ht="28" spans="1:39">
      <c r="A10" s="20" t="s">
        <v>122</v>
      </c>
      <c r="B10" s="12" t="s">
        <v>123</v>
      </c>
      <c r="C10" s="23">
        <v>1.85</v>
      </c>
      <c r="D10" s="23">
        <v>1.88515</v>
      </c>
      <c r="E10" s="23">
        <v>1.87572425</v>
      </c>
      <c r="F10" s="23">
        <v>1.860718456</v>
      </c>
      <c r="G10" s="23">
        <v>1.84211127144</v>
      </c>
      <c r="H10" s="23">
        <v>1.82000593618272</v>
      </c>
      <c r="I10" s="23">
        <v>1.79270584713998</v>
      </c>
      <c r="J10" s="23">
        <v>1.76581525943288</v>
      </c>
      <c r="K10" s="23">
        <v>1.73932803054139</v>
      </c>
      <c r="L10" s="23">
        <v>1.71323811008326</v>
      </c>
      <c r="M10" s="23">
        <v>1.68753953843202</v>
      </c>
      <c r="N10" s="23">
        <v>1.66222644535554</v>
      </c>
      <c r="O10" s="23">
        <v>1.64227972801127</v>
      </c>
      <c r="P10" s="23">
        <v>1.62257237127513</v>
      </c>
      <c r="Q10" s="23">
        <v>1.60310150281983</v>
      </c>
      <c r="R10" s="23">
        <v>1.58386428478599</v>
      </c>
      <c r="S10" s="23">
        <v>1.56802564193814</v>
      </c>
      <c r="T10" s="23">
        <v>1.55234538551875</v>
      </c>
      <c r="U10" s="23">
        <v>1.53682193166357</v>
      </c>
      <c r="V10" s="23">
        <v>1.52145371234693</v>
      </c>
      <c r="W10" s="23">
        <v>1.50928208264815</v>
      </c>
      <c r="X10" s="23">
        <v>1.49720782598697</v>
      </c>
      <c r="Y10" s="23">
        <v>1.48523016337907</v>
      </c>
      <c r="Z10" s="23">
        <v>1.47334832207204</v>
      </c>
      <c r="AA10" s="23">
        <v>1.46450823213961</v>
      </c>
      <c r="AB10" s="23">
        <v>1.45572118274677</v>
      </c>
      <c r="AC10" s="23">
        <v>1.44698685565029</v>
      </c>
      <c r="AD10" s="23">
        <v>1.43975192137204</v>
      </c>
      <c r="AE10" s="23">
        <v>1.43255316176518</v>
      </c>
      <c r="AF10" s="23">
        <v>1.42539039595635</v>
      </c>
      <c r="AG10" s="23">
        <v>1.41826344397657</v>
      </c>
      <c r="AH10" s="23">
        <v>1.41259039020066</v>
      </c>
      <c r="AI10" s="23">
        <v>1.40694002863986</v>
      </c>
      <c r="AJ10" s="23">
        <v>1.4013122685253</v>
      </c>
      <c r="AK10" s="23">
        <v>1.39710833171973</v>
      </c>
      <c r="AL10" s="23">
        <v>1.39291700672457</v>
      </c>
      <c r="AM10" s="23">
        <v>1.38873825570439</v>
      </c>
    </row>
    <row r="11" spans="1:43">
      <c r="A11" s="6" t="s">
        <v>124</v>
      </c>
      <c r="B11" s="12" t="s">
        <v>125</v>
      </c>
      <c r="C11" s="21">
        <v>0</v>
      </c>
      <c r="D11" s="21">
        <v>1.9</v>
      </c>
      <c r="E11" s="21">
        <v>-0.5</v>
      </c>
      <c r="F11" s="21">
        <v>-0.8</v>
      </c>
      <c r="G11" s="21">
        <v>-1</v>
      </c>
      <c r="H11" s="21">
        <v>-1.2</v>
      </c>
      <c r="I11" s="21">
        <v>-1.5</v>
      </c>
      <c r="J11" s="21">
        <v>-1.5</v>
      </c>
      <c r="K11" s="21">
        <v>-1.5</v>
      </c>
      <c r="L11" s="21">
        <v>-1.5</v>
      </c>
      <c r="M11" s="21">
        <v>-1.5</v>
      </c>
      <c r="N11" s="21">
        <v>-1.5</v>
      </c>
      <c r="O11" s="21">
        <v>-1.2</v>
      </c>
      <c r="P11" s="21">
        <v>-1.2</v>
      </c>
      <c r="Q11" s="21">
        <v>-1.2</v>
      </c>
      <c r="R11" s="21">
        <v>-1.2</v>
      </c>
      <c r="S11" s="21">
        <v>-1</v>
      </c>
      <c r="T11" s="21">
        <v>-1</v>
      </c>
      <c r="U11" s="21">
        <v>-1</v>
      </c>
      <c r="V11" s="21">
        <v>-1</v>
      </c>
      <c r="W11" s="21">
        <v>-0.8</v>
      </c>
      <c r="X11" s="21">
        <v>-0.8</v>
      </c>
      <c r="Y11" s="21">
        <v>-0.8</v>
      </c>
      <c r="Z11" s="21">
        <v>-0.8</v>
      </c>
      <c r="AA11" s="21">
        <v>-0.6</v>
      </c>
      <c r="AB11" s="21">
        <v>-0.6</v>
      </c>
      <c r="AC11" s="21">
        <v>-0.6</v>
      </c>
      <c r="AD11" s="21">
        <v>-0.5</v>
      </c>
      <c r="AE11" s="21">
        <v>-0.5</v>
      </c>
      <c r="AF11" s="21">
        <v>-0.5</v>
      </c>
      <c r="AG11" s="21">
        <v>-0.5</v>
      </c>
      <c r="AH11" s="21">
        <v>-0.4</v>
      </c>
      <c r="AI11" s="21">
        <v>-0.4</v>
      </c>
      <c r="AJ11" s="21">
        <v>-0.4</v>
      </c>
      <c r="AK11" s="21">
        <v>-0.3</v>
      </c>
      <c r="AL11" s="21">
        <v>-0.3</v>
      </c>
      <c r="AM11" s="21">
        <v>-0.3</v>
      </c>
      <c r="AP11" s="20" t="s">
        <v>126</v>
      </c>
      <c r="AQ11" s="11"/>
    </row>
    <row r="12" ht="17.6" spans="1:43">
      <c r="A12" s="3" t="s">
        <v>127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P12" s="7" t="s">
        <v>60</v>
      </c>
      <c r="AQ12" s="37" t="s">
        <v>61</v>
      </c>
    </row>
    <row r="13" spans="1:43">
      <c r="A13" s="20" t="s">
        <v>48</v>
      </c>
      <c r="B13" s="12" t="s">
        <v>128</v>
      </c>
      <c r="C13" s="24">
        <v>100509</v>
      </c>
      <c r="D13" s="24">
        <v>96081</v>
      </c>
      <c r="E13" s="24">
        <v>93754.8615338214</v>
      </c>
      <c r="F13" s="24">
        <v>91485.0393025261</v>
      </c>
      <c r="G13" s="24">
        <v>89270.1698798362</v>
      </c>
      <c r="H13" s="24">
        <v>87108.9228482713</v>
      </c>
      <c r="I13" s="24">
        <v>85000</v>
      </c>
      <c r="J13" s="24">
        <v>84263.9628274251</v>
      </c>
      <c r="K13" s="24">
        <v>83534.2991927257</v>
      </c>
      <c r="L13" s="24">
        <v>82810.9539057747</v>
      </c>
      <c r="M13" s="24">
        <v>82093.8722543508</v>
      </c>
      <c r="N13" s="24">
        <v>81383</v>
      </c>
      <c r="O13" s="24">
        <v>79529.2521898213</v>
      </c>
      <c r="P13" s="24">
        <v>77717.7291801998</v>
      </c>
      <c r="Q13" s="24">
        <v>75947.4691716002</v>
      </c>
      <c r="R13" s="24">
        <v>74217.5322724264</v>
      </c>
      <c r="S13" s="24">
        <v>72527</v>
      </c>
      <c r="T13" s="24">
        <v>71386.9467254975</v>
      </c>
      <c r="U13" s="24">
        <v>70264.8139698184</v>
      </c>
      <c r="V13" s="24">
        <v>69160.3200399909</v>
      </c>
      <c r="W13" s="24">
        <v>68073.1876709802</v>
      </c>
      <c r="X13" s="24">
        <v>67003.1439560861</v>
      </c>
      <c r="Y13" s="24">
        <v>65949.9202784337</v>
      </c>
      <c r="Z13" s="24">
        <v>64913.2522435418</v>
      </c>
      <c r="AA13" s="24">
        <v>63892.879612951</v>
      </c>
      <c r="AB13" s="24">
        <v>62888.5462388953</v>
      </c>
      <c r="AC13" s="24">
        <v>61900</v>
      </c>
      <c r="AD13" s="24">
        <v>60915.0900170017</v>
      </c>
      <c r="AE13" s="24">
        <v>59945.8512403783</v>
      </c>
      <c r="AF13" s="24">
        <v>58992.0343207341</v>
      </c>
      <c r="AG13" s="24">
        <v>58053.3938761481</v>
      </c>
      <c r="AH13" s="24">
        <v>57129.6884290471</v>
      </c>
      <c r="AI13" s="24">
        <v>56220.6803440818</v>
      </c>
      <c r="AJ13" s="24">
        <v>55326.1357669923</v>
      </c>
      <c r="AK13" s="24">
        <v>54445.8245644458</v>
      </c>
      <c r="AL13" s="24">
        <v>53579.5202648319</v>
      </c>
      <c r="AM13" s="24">
        <v>52727</v>
      </c>
      <c r="AP13" s="7" t="s">
        <v>64</v>
      </c>
      <c r="AQ13" s="37" t="s">
        <v>65</v>
      </c>
    </row>
    <row r="14" ht="17.6" spans="1:43">
      <c r="A14" s="3" t="s">
        <v>129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P14" s="7" t="s">
        <v>68</v>
      </c>
      <c r="AQ14" s="37" t="s">
        <v>69</v>
      </c>
    </row>
    <row r="15" spans="1:39">
      <c r="A15" s="20" t="s">
        <v>64</v>
      </c>
      <c r="B15" s="12" t="s">
        <v>130</v>
      </c>
      <c r="C15" s="21">
        <v>10</v>
      </c>
      <c r="D15" s="21">
        <v>10</v>
      </c>
      <c r="E15" s="21">
        <v>12</v>
      </c>
      <c r="F15" s="21">
        <v>14</v>
      </c>
      <c r="G15" s="21">
        <v>16</v>
      </c>
      <c r="H15" s="21">
        <v>18</v>
      </c>
      <c r="I15" s="21">
        <v>20</v>
      </c>
      <c r="J15" s="21">
        <v>22</v>
      </c>
      <c r="K15" s="21">
        <v>24</v>
      </c>
      <c r="L15" s="21">
        <v>26</v>
      </c>
      <c r="M15" s="21">
        <v>28</v>
      </c>
      <c r="N15" s="21">
        <v>30</v>
      </c>
      <c r="O15" s="21">
        <v>30.8219897719115</v>
      </c>
      <c r="P15" s="21">
        <v>31.6665017833272</v>
      </c>
      <c r="Q15" s="21">
        <v>32.534153135931</v>
      </c>
      <c r="R15" s="21">
        <v>33.4255778397822</v>
      </c>
      <c r="S15" s="21">
        <v>34.3414272766</v>
      </c>
      <c r="T15" s="21">
        <v>35.2823706757402</v>
      </c>
      <c r="U15" s="21">
        <v>36.2490956032152</v>
      </c>
      <c r="V15" s="21">
        <v>37.2423084641113</v>
      </c>
      <c r="W15" s="21">
        <v>38.2627350187737</v>
      </c>
      <c r="X15" s="21">
        <v>39.3111209131334</v>
      </c>
      <c r="Y15" s="21">
        <v>40.3882322235658</v>
      </c>
      <c r="Z15" s="21">
        <v>41.4948560166777</v>
      </c>
      <c r="AA15" s="21">
        <v>42.6318009244327</v>
      </c>
      <c r="AB15" s="21">
        <v>43.7998977350344</v>
      </c>
      <c r="AC15" s="21">
        <v>45</v>
      </c>
      <c r="AD15" s="21">
        <v>46.3133704034142</v>
      </c>
      <c r="AE15" s="21">
        <v>47.6650728471966</v>
      </c>
      <c r="AF15" s="21">
        <v>49.0562260906208</v>
      </c>
      <c r="AG15" s="21">
        <v>50.487981545079</v>
      </c>
      <c r="AH15" s="21">
        <v>51.9615242270663</v>
      </c>
      <c r="AI15" s="21">
        <v>53.4780737389801</v>
      </c>
      <c r="AJ15" s="21">
        <v>55.0388852785441</v>
      </c>
      <c r="AK15" s="21">
        <v>56.6452506776942</v>
      </c>
      <c r="AL15" s="21">
        <v>58.2984994717844</v>
      </c>
      <c r="AM15" s="21">
        <v>60</v>
      </c>
    </row>
    <row r="16" spans="1:43">
      <c r="A16" s="20" t="s">
        <v>68</v>
      </c>
      <c r="B16" s="12" t="s">
        <v>131</v>
      </c>
      <c r="C16" s="23">
        <v>1</v>
      </c>
      <c r="D16" s="23">
        <v>1.1</v>
      </c>
      <c r="E16" s="23">
        <v>1.29628993763272</v>
      </c>
      <c r="F16" s="23">
        <v>1.52760691127984</v>
      </c>
      <c r="G16" s="23">
        <v>1.80020133431841</v>
      </c>
      <c r="H16" s="23">
        <v>2.12143897762722</v>
      </c>
      <c r="I16" s="23">
        <v>2.5</v>
      </c>
      <c r="J16" s="23">
        <v>2.74640135826529</v>
      </c>
      <c r="K16" s="23">
        <v>3.01708816827258</v>
      </c>
      <c r="L16" s="23">
        <v>3.31445401733999</v>
      </c>
      <c r="M16" s="23">
        <v>3.64112840605216</v>
      </c>
      <c r="N16" s="23">
        <v>4</v>
      </c>
      <c r="O16" s="23">
        <v>4.47370765888058</v>
      </c>
      <c r="P16" s="23">
        <v>5.00351505428169</v>
      </c>
      <c r="Q16" s="23">
        <v>5.59606590491606</v>
      </c>
      <c r="R16" s="23">
        <v>6.25879072460587</v>
      </c>
      <c r="S16" s="23">
        <v>7</v>
      </c>
      <c r="T16" s="23">
        <v>7.44702087521709</v>
      </c>
      <c r="U16" s="23">
        <v>7.92258855941702</v>
      </c>
      <c r="V16" s="23">
        <v>8.42852605539066</v>
      </c>
      <c r="W16" s="23">
        <v>8.96677278311505</v>
      </c>
      <c r="X16" s="23">
        <v>9.53939201416946</v>
      </c>
      <c r="Y16" s="23">
        <v>10.1485787809142</v>
      </c>
      <c r="Z16" s="23">
        <v>10.7966682907504</v>
      </c>
      <c r="AA16" s="23">
        <v>11.4861448777161</v>
      </c>
      <c r="AB16" s="23">
        <v>12.2196515257314</v>
      </c>
      <c r="AC16" s="23">
        <v>13</v>
      </c>
      <c r="AD16" s="23">
        <v>13.5028168553691</v>
      </c>
      <c r="AE16" s="23">
        <v>14.0250817715108</v>
      </c>
      <c r="AF16" s="23">
        <v>14.5675469647913</v>
      </c>
      <c r="AG16" s="23">
        <v>15.1309937459666</v>
      </c>
      <c r="AH16" s="23">
        <v>15.7162336455017</v>
      </c>
      <c r="AI16" s="23">
        <v>16.3241095824154</v>
      </c>
      <c r="AJ16" s="23">
        <v>16.9554970783332</v>
      </c>
      <c r="AK16" s="23">
        <v>17.6113055184984</v>
      </c>
      <c r="AL16" s="23">
        <v>18.2924794615566</v>
      </c>
      <c r="AM16" s="23">
        <v>19</v>
      </c>
      <c r="AP16" s="7" t="s">
        <v>58</v>
      </c>
      <c r="AQ16" s="37" t="s">
        <v>59</v>
      </c>
    </row>
    <row r="17" spans="1:43">
      <c r="A17" s="20" t="s">
        <v>60</v>
      </c>
      <c r="B17" s="12" t="e">
        <f>1-短流程%-氢冶金%</f>
        <v>#NAME?</v>
      </c>
      <c r="C17" s="25">
        <f t="shared" ref="C17:AM17" si="0">1-C15/100-C16/100</f>
        <v>0.89</v>
      </c>
      <c r="D17" s="25">
        <f t="shared" si="0"/>
        <v>0.889</v>
      </c>
      <c r="E17" s="25">
        <f t="shared" si="0"/>
        <v>0.867037100623673</v>
      </c>
      <c r="F17" s="25">
        <f t="shared" si="0"/>
        <v>0.844723930887202</v>
      </c>
      <c r="G17" s="25">
        <f t="shared" si="0"/>
        <v>0.821997986656816</v>
      </c>
      <c r="H17" s="25">
        <f t="shared" si="0"/>
        <v>0.798785610223728</v>
      </c>
      <c r="I17" s="25">
        <f t="shared" si="0"/>
        <v>0.775</v>
      </c>
      <c r="J17" s="25">
        <f t="shared" si="0"/>
        <v>0.752535986417347</v>
      </c>
      <c r="K17" s="25">
        <f t="shared" si="0"/>
        <v>0.729829118317274</v>
      </c>
      <c r="L17" s="25">
        <f t="shared" si="0"/>
        <v>0.7068554598266</v>
      </c>
      <c r="M17" s="25">
        <f t="shared" si="0"/>
        <v>0.683588715939478</v>
      </c>
      <c r="N17" s="25">
        <f t="shared" si="0"/>
        <v>0.66</v>
      </c>
      <c r="O17" s="25">
        <f t="shared" si="0"/>
        <v>0.647043025692079</v>
      </c>
      <c r="P17" s="25">
        <f t="shared" si="0"/>
        <v>0.633299831623911</v>
      </c>
      <c r="Q17" s="25">
        <f t="shared" si="0"/>
        <v>0.61869780959153</v>
      </c>
      <c r="R17" s="25">
        <f t="shared" si="0"/>
        <v>0.603156314356119</v>
      </c>
      <c r="S17" s="25">
        <f t="shared" si="0"/>
        <v>0.586585727234</v>
      </c>
      <c r="T17" s="25">
        <f t="shared" si="0"/>
        <v>0.572706084490427</v>
      </c>
      <c r="U17" s="25">
        <f t="shared" si="0"/>
        <v>0.558283158373678</v>
      </c>
      <c r="V17" s="25">
        <f t="shared" si="0"/>
        <v>0.54329165480498</v>
      </c>
      <c r="W17" s="25">
        <f t="shared" si="0"/>
        <v>0.527704921981112</v>
      </c>
      <c r="X17" s="25">
        <f t="shared" si="0"/>
        <v>0.511494870726971</v>
      </c>
      <c r="Y17" s="25">
        <f t="shared" si="0"/>
        <v>0.4946318899552</v>
      </c>
      <c r="Z17" s="25">
        <f t="shared" si="0"/>
        <v>0.477084756925718</v>
      </c>
      <c r="AA17" s="25">
        <f t="shared" si="0"/>
        <v>0.458820541978512</v>
      </c>
      <c r="AB17" s="25">
        <f t="shared" si="0"/>
        <v>0.439804507392342</v>
      </c>
      <c r="AC17" s="25">
        <f t="shared" si="0"/>
        <v>0.42</v>
      </c>
      <c r="AD17" s="25">
        <f t="shared" si="0"/>
        <v>0.401838127412166</v>
      </c>
      <c r="AE17" s="25">
        <f t="shared" si="0"/>
        <v>0.383098453812926</v>
      </c>
      <c r="AF17" s="25">
        <f t="shared" si="0"/>
        <v>0.363762269445879</v>
      </c>
      <c r="AG17" s="25">
        <f t="shared" si="0"/>
        <v>0.343810247089545</v>
      </c>
      <c r="AH17" s="25">
        <f t="shared" si="0"/>
        <v>0.32322242127432</v>
      </c>
      <c r="AI17" s="25">
        <f t="shared" si="0"/>
        <v>0.301978166786045</v>
      </c>
      <c r="AJ17" s="25">
        <f t="shared" si="0"/>
        <v>0.280056176431227</v>
      </c>
      <c r="AK17" s="25">
        <f t="shared" si="0"/>
        <v>0.257434438038075</v>
      </c>
      <c r="AL17" s="25">
        <f t="shared" si="0"/>
        <v>0.23409021066659</v>
      </c>
      <c r="AM17" s="25">
        <f t="shared" si="0"/>
        <v>0.21</v>
      </c>
      <c r="AP17" s="7" t="s">
        <v>62</v>
      </c>
      <c r="AQ17" s="37" t="s">
        <v>63</v>
      </c>
    </row>
    <row r="18" spans="1:43">
      <c r="A18" s="6" t="s">
        <v>132</v>
      </c>
      <c r="B18" s="12" t="e">
        <f>长流程产量公式</f>
        <v>#NAME?</v>
      </c>
      <c r="C18" s="26">
        <f t="shared" ref="C18:AM18" si="1">C13*C17</f>
        <v>89453.01</v>
      </c>
      <c r="D18" s="26">
        <f t="shared" si="1"/>
        <v>85416.009</v>
      </c>
      <c r="E18" s="26">
        <f t="shared" si="1"/>
        <v>81288.9433136584</v>
      </c>
      <c r="F18" s="26">
        <f t="shared" si="1"/>
        <v>77279.602017</v>
      </c>
      <c r="G18" s="26">
        <f t="shared" si="1"/>
        <v>73379.8999097373</v>
      </c>
      <c r="H18" s="26">
        <f t="shared" si="1"/>
        <v>69581.354093288</v>
      </c>
      <c r="I18" s="26">
        <f t="shared" si="1"/>
        <v>65875</v>
      </c>
      <c r="J18" s="26">
        <f t="shared" si="1"/>
        <v>63411.664385771</v>
      </c>
      <c r="K18" s="26">
        <f t="shared" si="1"/>
        <v>60965.7639290784</v>
      </c>
      <c r="L18" s="26">
        <f t="shared" si="1"/>
        <v>58535.3749017458</v>
      </c>
      <c r="M18" s="26">
        <f t="shared" si="1"/>
        <v>56118.4447208512</v>
      </c>
      <c r="N18" s="26">
        <f t="shared" si="1"/>
        <v>53712.78</v>
      </c>
      <c r="O18" s="26">
        <f t="shared" si="1"/>
        <v>51458.8479679304</v>
      </c>
      <c r="P18" s="26">
        <f t="shared" si="1"/>
        <v>49218.6248040132</v>
      </c>
      <c r="Q18" s="26">
        <f t="shared" si="1"/>
        <v>46988.5328204893</v>
      </c>
      <c r="R18" s="26">
        <f t="shared" si="1"/>
        <v>44764.773226043</v>
      </c>
      <c r="S18" s="26">
        <f t="shared" si="1"/>
        <v>42543.3030391004</v>
      </c>
      <c r="T18" s="26">
        <f t="shared" si="1"/>
        <v>40883.7387428864</v>
      </c>
      <c r="U18" s="26">
        <f t="shared" si="1"/>
        <v>39227.6622656092</v>
      </c>
      <c r="V18" s="26">
        <f t="shared" si="1"/>
        <v>37574.2247213687</v>
      </c>
      <c r="W18" s="26">
        <f t="shared" si="1"/>
        <v>35922.5561889202</v>
      </c>
      <c r="X18" s="26">
        <f t="shared" si="1"/>
        <v>34271.7644561189</v>
      </c>
      <c r="Y18" s="26">
        <f t="shared" si="1"/>
        <v>32620.9337097164</v>
      </c>
      <c r="Z18" s="26">
        <f t="shared" si="1"/>
        <v>30969.123167868</v>
      </c>
      <c r="AA18" s="26">
        <f t="shared" si="1"/>
        <v>29315.365652582</v>
      </c>
      <c r="AB18" s="26">
        <f t="shared" si="1"/>
        <v>27658.6660992179</v>
      </c>
      <c r="AC18" s="26">
        <f t="shared" si="1"/>
        <v>25998</v>
      </c>
      <c r="AD18" s="26">
        <f t="shared" si="1"/>
        <v>24478.0057035755</v>
      </c>
      <c r="AE18" s="26">
        <f t="shared" si="1"/>
        <v>22965.1629226886</v>
      </c>
      <c r="AF18" s="26">
        <f t="shared" si="1"/>
        <v>21459.0762837394</v>
      </c>
      <c r="AG18" s="26">
        <f t="shared" si="1"/>
        <v>19959.3516929451</v>
      </c>
      <c r="AH18" s="26">
        <f t="shared" si="1"/>
        <v>18465.5962206841</v>
      </c>
      <c r="AI18" s="26">
        <f t="shared" si="1"/>
        <v>16977.4179857701</v>
      </c>
      <c r="AJ18" s="26">
        <f t="shared" si="1"/>
        <v>15494.4260396188</v>
      </c>
      <c r="AK18" s="26">
        <f t="shared" si="1"/>
        <v>14016.2302502677</v>
      </c>
      <c r="AL18" s="26">
        <f t="shared" si="1"/>
        <v>12542.4411862093</v>
      </c>
      <c r="AM18" s="26">
        <f t="shared" si="1"/>
        <v>11072.67</v>
      </c>
      <c r="AP18" s="7" t="s">
        <v>66</v>
      </c>
      <c r="AQ18" s="37" t="s">
        <v>67</v>
      </c>
    </row>
    <row r="19" spans="1:39">
      <c r="A19" s="6" t="s">
        <v>133</v>
      </c>
      <c r="B19" s="12" t="e">
        <f>短流程产量公式</f>
        <v>#NAME?</v>
      </c>
      <c r="C19" s="26">
        <f t="shared" ref="C19:AM19" si="2">C13*C15/100</f>
        <v>10050.9</v>
      </c>
      <c r="D19" s="26">
        <f t="shared" si="2"/>
        <v>9608.1</v>
      </c>
      <c r="E19" s="26">
        <f t="shared" si="2"/>
        <v>11250.5833840586</v>
      </c>
      <c r="F19" s="26">
        <f t="shared" si="2"/>
        <v>12807.9055023537</v>
      </c>
      <c r="G19" s="26">
        <f t="shared" si="2"/>
        <v>14283.2271807738</v>
      </c>
      <c r="H19" s="26">
        <f t="shared" si="2"/>
        <v>15679.6061126888</v>
      </c>
      <c r="I19" s="26">
        <f t="shared" si="2"/>
        <v>17000</v>
      </c>
      <c r="J19" s="26">
        <f t="shared" si="2"/>
        <v>18538.0718220335</v>
      </c>
      <c r="K19" s="26">
        <f t="shared" si="2"/>
        <v>20048.2318062542</v>
      </c>
      <c r="L19" s="26">
        <f t="shared" si="2"/>
        <v>21530.8480155014</v>
      </c>
      <c r="M19" s="26">
        <f t="shared" si="2"/>
        <v>22986.2842312182</v>
      </c>
      <c r="N19" s="26">
        <f t="shared" si="2"/>
        <v>24414.9</v>
      </c>
      <c r="O19" s="26">
        <f t="shared" si="2"/>
        <v>24512.4979756244</v>
      </c>
      <c r="P19" s="26">
        <f t="shared" si="2"/>
        <v>24610.4860968094</v>
      </c>
      <c r="Q19" s="26">
        <f t="shared" si="2"/>
        <v>24708.8659231524</v>
      </c>
      <c r="R19" s="26">
        <f t="shared" si="2"/>
        <v>24807.6390204854</v>
      </c>
      <c r="S19" s="26">
        <f t="shared" si="2"/>
        <v>24906.8069608997</v>
      </c>
      <c r="T19" s="26">
        <f t="shared" si="2"/>
        <v>25187.0071577832</v>
      </c>
      <c r="U19" s="26">
        <f t="shared" si="2"/>
        <v>25470.3595913407</v>
      </c>
      <c r="V19" s="26">
        <f t="shared" si="2"/>
        <v>25756.89972406</v>
      </c>
      <c r="W19" s="26">
        <f t="shared" si="2"/>
        <v>26046.6634173797</v>
      </c>
      <c r="X19" s="26">
        <f t="shared" si="2"/>
        <v>26339.6869361779</v>
      </c>
      <c r="Y19" s="26">
        <f t="shared" si="2"/>
        <v>26636.0069533103</v>
      </c>
      <c r="Z19" s="26">
        <f t="shared" si="2"/>
        <v>26935.6605542005</v>
      </c>
      <c r="AA19" s="26">
        <f t="shared" si="2"/>
        <v>27238.6852414807</v>
      </c>
      <c r="AB19" s="26">
        <f t="shared" si="2"/>
        <v>27545.118939686</v>
      </c>
      <c r="AC19" s="26">
        <f t="shared" si="2"/>
        <v>27855</v>
      </c>
      <c r="AD19" s="26">
        <f t="shared" si="2"/>
        <v>28211.8312711472</v>
      </c>
      <c r="AE19" s="26">
        <f t="shared" si="2"/>
        <v>28573.2336625984</v>
      </c>
      <c r="AF19" s="26">
        <f t="shared" si="2"/>
        <v>28939.2657318359</v>
      </c>
      <c r="AG19" s="26">
        <f t="shared" si="2"/>
        <v>29309.9867864817</v>
      </c>
      <c r="AH19" s="26">
        <f t="shared" si="2"/>
        <v>29685.4568939068</v>
      </c>
      <c r="AI19" s="26">
        <f t="shared" si="2"/>
        <v>30065.7368909644</v>
      </c>
      <c r="AJ19" s="26">
        <f t="shared" si="2"/>
        <v>30450.8883938465</v>
      </c>
      <c r="AK19" s="26">
        <f t="shared" si="2"/>
        <v>30840.9738080679</v>
      </c>
      <c r="AL19" s="26">
        <f t="shared" si="2"/>
        <v>31236.0563385777</v>
      </c>
      <c r="AM19" s="26">
        <f t="shared" si="2"/>
        <v>31636.2</v>
      </c>
    </row>
    <row r="20" spans="1:43">
      <c r="A20" s="6" t="s">
        <v>134</v>
      </c>
      <c r="B20" s="12" t="e">
        <f>氢冶金产量公式</f>
        <v>#NAME?</v>
      </c>
      <c r="C20" s="26">
        <f t="shared" ref="C20:AM20" si="3">C13*C16/100</f>
        <v>1005.09</v>
      </c>
      <c r="D20" s="26">
        <f t="shared" si="3"/>
        <v>1056.891</v>
      </c>
      <c r="E20" s="26">
        <f t="shared" si="3"/>
        <v>1215.33483610441</v>
      </c>
      <c r="F20" s="26">
        <f t="shared" si="3"/>
        <v>1397.53178317247</v>
      </c>
      <c r="G20" s="26">
        <f t="shared" si="3"/>
        <v>1607.04278932512</v>
      </c>
      <c r="H20" s="26">
        <f t="shared" si="3"/>
        <v>1847.96264229445</v>
      </c>
      <c r="I20" s="26">
        <f t="shared" si="3"/>
        <v>2125</v>
      </c>
      <c r="J20" s="26">
        <f t="shared" si="3"/>
        <v>2314.22661962057</v>
      </c>
      <c r="K20" s="26">
        <f t="shared" si="3"/>
        <v>2520.30345739315</v>
      </c>
      <c r="L20" s="26">
        <f t="shared" si="3"/>
        <v>2744.73098852751</v>
      </c>
      <c r="M20" s="26">
        <f t="shared" si="3"/>
        <v>2989.14330228134</v>
      </c>
      <c r="N20" s="26">
        <f t="shared" si="3"/>
        <v>3255.32</v>
      </c>
      <c r="O20" s="26">
        <f t="shared" si="3"/>
        <v>3557.90624626649</v>
      </c>
      <c r="P20" s="26">
        <f t="shared" si="3"/>
        <v>3888.61827937717</v>
      </c>
      <c r="Q20" s="26">
        <f t="shared" si="3"/>
        <v>4250.07042795856</v>
      </c>
      <c r="R20" s="26">
        <f t="shared" si="3"/>
        <v>4645.12002589799</v>
      </c>
      <c r="S20" s="26">
        <f t="shared" si="3"/>
        <v>5076.89</v>
      </c>
      <c r="T20" s="26">
        <f t="shared" si="3"/>
        <v>5316.2008248279</v>
      </c>
      <c r="U20" s="26">
        <f t="shared" si="3"/>
        <v>5566.79211286848</v>
      </c>
      <c r="V20" s="26">
        <f t="shared" si="3"/>
        <v>5829.19559456219</v>
      </c>
      <c r="W20" s="26">
        <f t="shared" si="3"/>
        <v>6103.96806468029</v>
      </c>
      <c r="X20" s="26">
        <f t="shared" si="3"/>
        <v>6391.69256378935</v>
      </c>
      <c r="Y20" s="26">
        <f t="shared" si="3"/>
        <v>6692.97961540693</v>
      </c>
      <c r="Z20" s="26">
        <f t="shared" si="3"/>
        <v>7008.46852147332</v>
      </c>
      <c r="AA20" s="26">
        <f t="shared" si="3"/>
        <v>7338.8287188883</v>
      </c>
      <c r="AB20" s="26">
        <f t="shared" si="3"/>
        <v>7684.76119999146</v>
      </c>
      <c r="AC20" s="26">
        <f t="shared" si="3"/>
        <v>8047</v>
      </c>
      <c r="AD20" s="26">
        <f t="shared" si="3"/>
        <v>8225.25304227898</v>
      </c>
      <c r="AE20" s="26">
        <f t="shared" si="3"/>
        <v>8407.4546550913</v>
      </c>
      <c r="AF20" s="26">
        <f t="shared" si="3"/>
        <v>8593.69230515873</v>
      </c>
      <c r="AG20" s="26">
        <f t="shared" si="3"/>
        <v>8784.05539672131</v>
      </c>
      <c r="AH20" s="26">
        <f t="shared" si="3"/>
        <v>8978.6353144562</v>
      </c>
      <c r="AI20" s="26">
        <f t="shared" si="3"/>
        <v>9177.52546734738</v>
      </c>
      <c r="AJ20" s="26">
        <f t="shared" si="3"/>
        <v>9380.82133352701</v>
      </c>
      <c r="AK20" s="26">
        <f t="shared" si="3"/>
        <v>9588.62050611019</v>
      </c>
      <c r="AL20" s="26">
        <f t="shared" si="3"/>
        <v>9801.02274004492</v>
      </c>
      <c r="AM20" s="26">
        <f t="shared" si="3"/>
        <v>10018.13</v>
      </c>
      <c r="AP20" s="7" t="s">
        <v>135</v>
      </c>
      <c r="AQ20" s="37" t="s">
        <v>136</v>
      </c>
    </row>
    <row r="21" ht="17.6" spans="1:43">
      <c r="A21" s="3" t="s">
        <v>137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P21" s="7" t="s">
        <v>138</v>
      </c>
      <c r="AQ21" s="37" t="s">
        <v>139</v>
      </c>
    </row>
    <row r="22" ht="28" spans="1:43">
      <c r="A22" s="12" t="s">
        <v>140</v>
      </c>
      <c r="B22" s="12" t="s">
        <v>141</v>
      </c>
      <c r="C22" s="27">
        <v>28000</v>
      </c>
      <c r="D22" s="27">
        <v>28500</v>
      </c>
      <c r="E22" s="27">
        <v>29167.9484439524</v>
      </c>
      <c r="F22" s="27">
        <v>29851.5514536514</v>
      </c>
      <c r="G22" s="27">
        <v>30551.1759218279</v>
      </c>
      <c r="H22" s="27">
        <v>31267.1973399998</v>
      </c>
      <c r="I22" s="27">
        <v>32000</v>
      </c>
      <c r="J22" s="27">
        <v>33118.9608653058</v>
      </c>
      <c r="K22" s="27">
        <v>34277.0490249268</v>
      </c>
      <c r="L22" s="27">
        <v>35475.632663585</v>
      </c>
      <c r="M22" s="27">
        <v>36716.1278080387</v>
      </c>
      <c r="N22" s="27">
        <v>38000</v>
      </c>
      <c r="O22" s="27">
        <v>39306.9530545997</v>
      </c>
      <c r="P22" s="27">
        <v>40658.8568009607</v>
      </c>
      <c r="Q22" s="27">
        <v>42057.2572507646</v>
      </c>
      <c r="R22" s="27">
        <v>43503.753588448</v>
      </c>
      <c r="S22" s="27">
        <v>45000</v>
      </c>
      <c r="T22" s="27">
        <v>45958.3059420061</v>
      </c>
      <c r="U22" s="27">
        <v>46937.0196679785</v>
      </c>
      <c r="V22" s="27">
        <v>47936.5757757091</v>
      </c>
      <c r="W22" s="27">
        <v>48957.4181180488</v>
      </c>
      <c r="X22" s="27">
        <v>50000</v>
      </c>
      <c r="Y22" s="27">
        <v>49798.3805270478</v>
      </c>
      <c r="Z22" s="27">
        <v>49597.574062333</v>
      </c>
      <c r="AA22" s="27">
        <v>49397.5773274899</v>
      </c>
      <c r="AB22" s="27">
        <v>49198.3870573721</v>
      </c>
      <c r="AC22" s="27">
        <v>49000</v>
      </c>
      <c r="AD22" s="27">
        <v>48593.3047383302</v>
      </c>
      <c r="AE22" s="27">
        <v>48189.9850080046</v>
      </c>
      <c r="AF22" s="27">
        <v>47790.0127924394</v>
      </c>
      <c r="AG22" s="27">
        <v>47393.3603075858</v>
      </c>
      <c r="AH22" s="27">
        <v>47000</v>
      </c>
      <c r="AI22" s="27">
        <v>46593.0123036347</v>
      </c>
      <c r="AJ22" s="27">
        <v>46189.5488409926</v>
      </c>
      <c r="AK22" s="27">
        <v>45789.579094632</v>
      </c>
      <c r="AL22" s="27">
        <v>45393.0728113711</v>
      </c>
      <c r="AM22" s="27">
        <v>45000</v>
      </c>
      <c r="AP22" s="7" t="s">
        <v>142</v>
      </c>
      <c r="AQ22" s="37" t="s">
        <v>143</v>
      </c>
    </row>
    <row r="23" spans="1:43">
      <c r="A23" s="6" t="s">
        <v>144</v>
      </c>
      <c r="B23" s="12" t="s">
        <v>145</v>
      </c>
      <c r="C23" s="26">
        <f t="shared" ref="C23:AM23" si="4">C18*0.3</f>
        <v>26835.903</v>
      </c>
      <c r="D23" s="26">
        <f t="shared" si="4"/>
        <v>25624.8027</v>
      </c>
      <c r="E23" s="26">
        <f t="shared" si="4"/>
        <v>24386.6829940975</v>
      </c>
      <c r="F23" s="26">
        <f t="shared" si="4"/>
        <v>23183.8806051</v>
      </c>
      <c r="G23" s="26">
        <f t="shared" si="4"/>
        <v>22013.9699729212</v>
      </c>
      <c r="H23" s="26">
        <f t="shared" si="4"/>
        <v>20874.4062279864</v>
      </c>
      <c r="I23" s="26">
        <f t="shared" si="4"/>
        <v>19762.5</v>
      </c>
      <c r="J23" s="26">
        <f t="shared" si="4"/>
        <v>19023.4993157313</v>
      </c>
      <c r="K23" s="26">
        <f t="shared" si="4"/>
        <v>18289.7291787235</v>
      </c>
      <c r="L23" s="26">
        <f t="shared" si="4"/>
        <v>17560.6124705237</v>
      </c>
      <c r="M23" s="26">
        <f t="shared" si="4"/>
        <v>16835.5334162554</v>
      </c>
      <c r="N23" s="26">
        <f t="shared" si="4"/>
        <v>16113.834</v>
      </c>
      <c r="O23" s="26">
        <f t="shared" si="4"/>
        <v>15437.6543903791</v>
      </c>
      <c r="P23" s="26">
        <f t="shared" si="4"/>
        <v>14765.587441204</v>
      </c>
      <c r="Q23" s="26">
        <f t="shared" si="4"/>
        <v>14096.5598461468</v>
      </c>
      <c r="R23" s="26">
        <f t="shared" si="4"/>
        <v>13429.4319678129</v>
      </c>
      <c r="S23" s="26">
        <f t="shared" si="4"/>
        <v>12762.9909117301</v>
      </c>
      <c r="T23" s="26">
        <f t="shared" si="4"/>
        <v>12265.1216228659</v>
      </c>
      <c r="U23" s="26">
        <f t="shared" si="4"/>
        <v>11768.2986796827</v>
      </c>
      <c r="V23" s="26">
        <f t="shared" si="4"/>
        <v>11272.2674164106</v>
      </c>
      <c r="W23" s="26">
        <f t="shared" si="4"/>
        <v>10776.7668566761</v>
      </c>
      <c r="X23" s="26">
        <f t="shared" si="4"/>
        <v>10281.5293368357</v>
      </c>
      <c r="Y23" s="26">
        <f t="shared" si="4"/>
        <v>9786.28011291493</v>
      </c>
      <c r="Z23" s="26">
        <f t="shared" si="4"/>
        <v>9290.73695036039</v>
      </c>
      <c r="AA23" s="26">
        <f t="shared" si="4"/>
        <v>8794.60969577459</v>
      </c>
      <c r="AB23" s="26">
        <f t="shared" si="4"/>
        <v>8297.59982976535</v>
      </c>
      <c r="AC23" s="26">
        <f t="shared" si="4"/>
        <v>7799.4</v>
      </c>
      <c r="AD23" s="26">
        <f t="shared" si="4"/>
        <v>7343.40171107265</v>
      </c>
      <c r="AE23" s="26">
        <f t="shared" si="4"/>
        <v>6889.54887680659</v>
      </c>
      <c r="AF23" s="26">
        <f t="shared" si="4"/>
        <v>6437.72288512182</v>
      </c>
      <c r="AG23" s="26">
        <f t="shared" si="4"/>
        <v>5987.80550788354</v>
      </c>
      <c r="AH23" s="26">
        <f t="shared" si="4"/>
        <v>5539.67886620523</v>
      </c>
      <c r="AI23" s="26">
        <f t="shared" si="4"/>
        <v>5093.22539573102</v>
      </c>
      <c r="AJ23" s="26">
        <f t="shared" si="4"/>
        <v>4648.32781188565</v>
      </c>
      <c r="AK23" s="26">
        <f t="shared" si="4"/>
        <v>4204.86907508031</v>
      </c>
      <c r="AL23" s="26">
        <f t="shared" si="4"/>
        <v>3762.7323558628</v>
      </c>
      <c r="AM23" s="26">
        <f t="shared" si="4"/>
        <v>3321.801</v>
      </c>
      <c r="AP23" s="7" t="s">
        <v>146</v>
      </c>
      <c r="AQ23" s="37" t="s">
        <v>147</v>
      </c>
    </row>
    <row r="24" spans="1:39">
      <c r="A24" s="6" t="s">
        <v>148</v>
      </c>
      <c r="B24" s="12" t="s">
        <v>145</v>
      </c>
      <c r="C24" s="26">
        <f t="shared" ref="C24:AM24" si="5">(C18-C23/1.1)*1.053*1.65</f>
        <v>113032.823436</v>
      </c>
      <c r="D24" s="26">
        <f t="shared" si="5"/>
        <v>107931.6689724</v>
      </c>
      <c r="E24" s="26">
        <f t="shared" si="5"/>
        <v>102716.708771139</v>
      </c>
      <c r="F24" s="26">
        <f t="shared" si="5"/>
        <v>97650.5051086812</v>
      </c>
      <c r="G24" s="26">
        <f t="shared" si="5"/>
        <v>92722.841525944</v>
      </c>
      <c r="H24" s="26">
        <f t="shared" si="5"/>
        <v>87922.9990322787</v>
      </c>
      <c r="I24" s="26">
        <f t="shared" si="5"/>
        <v>83239.65</v>
      </c>
      <c r="J24" s="26">
        <f t="shared" si="5"/>
        <v>80126.9791178603</v>
      </c>
      <c r="K24" s="26">
        <f t="shared" si="5"/>
        <v>77036.3393007835</v>
      </c>
      <c r="L24" s="26">
        <f t="shared" si="5"/>
        <v>73965.2997258459</v>
      </c>
      <c r="M24" s="26">
        <f t="shared" si="5"/>
        <v>70911.2667492676</v>
      </c>
      <c r="N24" s="26">
        <f t="shared" si="5"/>
        <v>67871.468808</v>
      </c>
      <c r="O24" s="26">
        <f t="shared" si="5"/>
        <v>65023.4002922769</v>
      </c>
      <c r="P24" s="26">
        <f t="shared" si="5"/>
        <v>62192.6543023511</v>
      </c>
      <c r="Q24" s="26">
        <f t="shared" si="5"/>
        <v>59374.7100719703</v>
      </c>
      <c r="R24" s="26">
        <f t="shared" si="5"/>
        <v>56564.767448428</v>
      </c>
      <c r="S24" s="26">
        <f t="shared" si="5"/>
        <v>53757.7177202072</v>
      </c>
      <c r="T24" s="26">
        <f t="shared" si="5"/>
        <v>51660.6922755112</v>
      </c>
      <c r="U24" s="26">
        <f t="shared" si="5"/>
        <v>49568.0740388237</v>
      </c>
      <c r="V24" s="26">
        <f t="shared" si="5"/>
        <v>47478.7903579214</v>
      </c>
      <c r="W24" s="26">
        <f t="shared" si="5"/>
        <v>45391.7420003196</v>
      </c>
      <c r="X24" s="26">
        <f t="shared" si="5"/>
        <v>43305.8015667518</v>
      </c>
      <c r="Y24" s="26">
        <f t="shared" si="5"/>
        <v>41219.8118355977</v>
      </c>
      <c r="Z24" s="26">
        <f t="shared" si="5"/>
        <v>39132.5840349179</v>
      </c>
      <c r="AA24" s="26">
        <f t="shared" si="5"/>
        <v>37042.8960386026</v>
      </c>
      <c r="AB24" s="26">
        <f t="shared" si="5"/>
        <v>34949.4904829717</v>
      </c>
      <c r="AC24" s="26">
        <f t="shared" si="5"/>
        <v>32851.0728</v>
      </c>
      <c r="AD24" s="26">
        <f t="shared" si="5"/>
        <v>30930.408007038</v>
      </c>
      <c r="AE24" s="26">
        <f t="shared" si="5"/>
        <v>29018.7798691093</v>
      </c>
      <c r="AF24" s="26">
        <f t="shared" si="5"/>
        <v>27115.6887921331</v>
      </c>
      <c r="AG24" s="26">
        <f t="shared" si="5"/>
        <v>25220.6367992055</v>
      </c>
      <c r="AH24" s="26">
        <f t="shared" si="5"/>
        <v>23333.1273844564</v>
      </c>
      <c r="AI24" s="26">
        <f t="shared" si="5"/>
        <v>21452.6653668191</v>
      </c>
      <c r="AJ24" s="26">
        <f t="shared" si="5"/>
        <v>19578.7567436623</v>
      </c>
      <c r="AK24" s="26">
        <f t="shared" si="5"/>
        <v>17710.9085442383</v>
      </c>
      <c r="AL24" s="26">
        <f t="shared" si="5"/>
        <v>15848.6286828941</v>
      </c>
      <c r="AM24" s="26">
        <f t="shared" si="5"/>
        <v>13991.425812</v>
      </c>
    </row>
    <row r="25" spans="1:43">
      <c r="A25" s="6" t="s">
        <v>149</v>
      </c>
      <c r="B25" s="12" t="s">
        <v>145</v>
      </c>
      <c r="C25" s="26">
        <f t="shared" ref="C25:AM25" si="6">C19*1.1</f>
        <v>11055.99</v>
      </c>
      <c r="D25" s="26">
        <f t="shared" si="6"/>
        <v>10568.91</v>
      </c>
      <c r="E25" s="26">
        <f t="shared" si="6"/>
        <v>12375.6417224644</v>
      </c>
      <c r="F25" s="26">
        <f t="shared" si="6"/>
        <v>14088.696052589</v>
      </c>
      <c r="G25" s="26">
        <f t="shared" si="6"/>
        <v>15711.5498988512</v>
      </c>
      <c r="H25" s="26">
        <f t="shared" si="6"/>
        <v>17247.5667239577</v>
      </c>
      <c r="I25" s="26">
        <f t="shared" si="6"/>
        <v>18700</v>
      </c>
      <c r="J25" s="26">
        <f t="shared" si="6"/>
        <v>20391.8790042369</v>
      </c>
      <c r="K25" s="26">
        <f t="shared" si="6"/>
        <v>22053.0549868796</v>
      </c>
      <c r="L25" s="26">
        <f t="shared" si="6"/>
        <v>23683.9328170516</v>
      </c>
      <c r="M25" s="26">
        <f t="shared" si="6"/>
        <v>25284.91265434</v>
      </c>
      <c r="N25" s="26">
        <f t="shared" si="6"/>
        <v>26856.39</v>
      </c>
      <c r="O25" s="26">
        <f t="shared" si="6"/>
        <v>26963.7477731869</v>
      </c>
      <c r="P25" s="26">
        <f t="shared" si="6"/>
        <v>27071.5347064903</v>
      </c>
      <c r="Q25" s="26">
        <f t="shared" si="6"/>
        <v>27179.7525154676</v>
      </c>
      <c r="R25" s="26">
        <f t="shared" si="6"/>
        <v>27288.4029225339</v>
      </c>
      <c r="S25" s="26">
        <f t="shared" si="6"/>
        <v>27397.4876569896</v>
      </c>
      <c r="T25" s="26">
        <f t="shared" si="6"/>
        <v>27705.7078735615</v>
      </c>
      <c r="U25" s="26">
        <f t="shared" si="6"/>
        <v>28017.3955504748</v>
      </c>
      <c r="V25" s="26">
        <f t="shared" si="6"/>
        <v>28332.589696466</v>
      </c>
      <c r="W25" s="26">
        <f t="shared" si="6"/>
        <v>28651.3297591177</v>
      </c>
      <c r="X25" s="26">
        <f t="shared" si="6"/>
        <v>28973.6556297957</v>
      </c>
      <c r="Y25" s="26">
        <f t="shared" si="6"/>
        <v>29299.6076486414</v>
      </c>
      <c r="Z25" s="26">
        <f t="shared" si="6"/>
        <v>29629.2266096205</v>
      </c>
      <c r="AA25" s="26">
        <f t="shared" si="6"/>
        <v>29962.5537656288</v>
      </c>
      <c r="AB25" s="26">
        <f t="shared" si="6"/>
        <v>30299.6308336546</v>
      </c>
      <c r="AC25" s="26">
        <f t="shared" si="6"/>
        <v>30640.5</v>
      </c>
      <c r="AD25" s="26">
        <f t="shared" si="6"/>
        <v>31033.0143982619</v>
      </c>
      <c r="AE25" s="26">
        <f t="shared" si="6"/>
        <v>31430.5570288583</v>
      </c>
      <c r="AF25" s="26">
        <f t="shared" si="6"/>
        <v>31833.1923050195</v>
      </c>
      <c r="AG25" s="26">
        <f t="shared" si="6"/>
        <v>32240.9854651298</v>
      </c>
      <c r="AH25" s="26">
        <f t="shared" si="6"/>
        <v>32654.0025832975</v>
      </c>
      <c r="AI25" s="26">
        <f t="shared" si="6"/>
        <v>33072.3105800608</v>
      </c>
      <c r="AJ25" s="26">
        <f t="shared" si="6"/>
        <v>33495.9772332311</v>
      </c>
      <c r="AK25" s="26">
        <f t="shared" si="6"/>
        <v>33925.0711888747</v>
      </c>
      <c r="AL25" s="26">
        <f t="shared" si="6"/>
        <v>34359.6619724354</v>
      </c>
      <c r="AM25" s="26">
        <f t="shared" si="6"/>
        <v>34799.82</v>
      </c>
      <c r="AP25" s="20" t="s">
        <v>150</v>
      </c>
      <c r="AQ25" s="11"/>
    </row>
    <row r="26" spans="1:43">
      <c r="A26" s="6" t="s">
        <v>151</v>
      </c>
      <c r="B26" s="12" t="s">
        <v>145</v>
      </c>
      <c r="C26" s="26">
        <f t="shared" ref="C26:AM26" si="7">C20*0.5</f>
        <v>502.545</v>
      </c>
      <c r="D26" s="26">
        <f t="shared" si="7"/>
        <v>528.4455</v>
      </c>
      <c r="E26" s="26">
        <f t="shared" si="7"/>
        <v>607.667418052206</v>
      </c>
      <c r="F26" s="26">
        <f t="shared" si="7"/>
        <v>698.765891586235</v>
      </c>
      <c r="G26" s="26">
        <f t="shared" si="7"/>
        <v>803.521394662562</v>
      </c>
      <c r="H26" s="26">
        <f t="shared" si="7"/>
        <v>923.981321147226</v>
      </c>
      <c r="I26" s="26">
        <f t="shared" si="7"/>
        <v>1062.5</v>
      </c>
      <c r="J26" s="26">
        <f t="shared" si="7"/>
        <v>1157.11330981028</v>
      </c>
      <c r="K26" s="26">
        <f t="shared" si="7"/>
        <v>1260.15172869657</v>
      </c>
      <c r="L26" s="26">
        <f t="shared" si="7"/>
        <v>1372.36549426376</v>
      </c>
      <c r="M26" s="26">
        <f t="shared" si="7"/>
        <v>1494.57165114067</v>
      </c>
      <c r="N26" s="26">
        <f t="shared" si="7"/>
        <v>1627.66</v>
      </c>
      <c r="O26" s="26">
        <f t="shared" si="7"/>
        <v>1778.95312313324</v>
      </c>
      <c r="P26" s="26">
        <f t="shared" si="7"/>
        <v>1944.30913968858</v>
      </c>
      <c r="Q26" s="26">
        <f t="shared" si="7"/>
        <v>2125.03521397928</v>
      </c>
      <c r="R26" s="26">
        <f t="shared" si="7"/>
        <v>2322.56001294899</v>
      </c>
      <c r="S26" s="26">
        <f t="shared" si="7"/>
        <v>2538.445</v>
      </c>
      <c r="T26" s="26">
        <f t="shared" si="7"/>
        <v>2658.10041241395</v>
      </c>
      <c r="U26" s="26">
        <f t="shared" si="7"/>
        <v>2783.39605643424</v>
      </c>
      <c r="V26" s="26">
        <f t="shared" si="7"/>
        <v>2914.5977972811</v>
      </c>
      <c r="W26" s="26">
        <f t="shared" si="7"/>
        <v>3051.98403234014</v>
      </c>
      <c r="X26" s="26">
        <f t="shared" si="7"/>
        <v>3195.84628189467</v>
      </c>
      <c r="Y26" s="26">
        <f t="shared" si="7"/>
        <v>3346.48980770347</v>
      </c>
      <c r="Z26" s="26">
        <f t="shared" si="7"/>
        <v>3504.23426073666</v>
      </c>
      <c r="AA26" s="26">
        <f t="shared" si="7"/>
        <v>3669.41435944415</v>
      </c>
      <c r="AB26" s="26">
        <f t="shared" si="7"/>
        <v>3842.38059999573</v>
      </c>
      <c r="AC26" s="26">
        <f t="shared" si="7"/>
        <v>4023.5</v>
      </c>
      <c r="AD26" s="26">
        <f t="shared" si="7"/>
        <v>4112.62652113949</v>
      </c>
      <c r="AE26" s="26">
        <f t="shared" si="7"/>
        <v>4203.72732754565</v>
      </c>
      <c r="AF26" s="26">
        <f t="shared" si="7"/>
        <v>4296.84615257937</v>
      </c>
      <c r="AG26" s="26">
        <f t="shared" si="7"/>
        <v>4392.02769836065</v>
      </c>
      <c r="AH26" s="26">
        <f t="shared" si="7"/>
        <v>4489.3176572281</v>
      </c>
      <c r="AI26" s="26">
        <f t="shared" si="7"/>
        <v>4588.76273367369</v>
      </c>
      <c r="AJ26" s="26">
        <f t="shared" si="7"/>
        <v>4690.41066676351</v>
      </c>
      <c r="AK26" s="26">
        <f t="shared" si="7"/>
        <v>4794.31025305509</v>
      </c>
      <c r="AL26" s="26">
        <f t="shared" si="7"/>
        <v>4900.51137002246</v>
      </c>
      <c r="AM26" s="26">
        <f t="shared" si="7"/>
        <v>5009.065</v>
      </c>
      <c r="AP26" s="7" t="s">
        <v>77</v>
      </c>
      <c r="AQ26" s="37" t="s">
        <v>78</v>
      </c>
    </row>
    <row r="27" spans="1:39">
      <c r="A27" s="6" t="s">
        <v>152</v>
      </c>
      <c r="B27" s="12" t="s">
        <v>145</v>
      </c>
      <c r="C27" s="26">
        <f t="shared" ref="C27:AM27" si="8">(C20-C26/1.1)*1.053*1.65</f>
        <v>952.523793</v>
      </c>
      <c r="D27" s="26">
        <f t="shared" si="8"/>
        <v>1001.6156007</v>
      </c>
      <c r="E27" s="26">
        <f t="shared" si="8"/>
        <v>1151.77282417615</v>
      </c>
      <c r="F27" s="26">
        <f t="shared" si="8"/>
        <v>1324.44087091255</v>
      </c>
      <c r="G27" s="26">
        <f t="shared" si="8"/>
        <v>1522.99445144342</v>
      </c>
      <c r="H27" s="26">
        <f t="shared" si="8"/>
        <v>1751.31419610245</v>
      </c>
      <c r="I27" s="26">
        <f t="shared" si="8"/>
        <v>2013.8625</v>
      </c>
      <c r="J27" s="26">
        <f t="shared" si="8"/>
        <v>2193.19256741441</v>
      </c>
      <c r="K27" s="26">
        <f t="shared" si="8"/>
        <v>2388.49158657148</v>
      </c>
      <c r="L27" s="26">
        <f t="shared" si="8"/>
        <v>2601.18155782752</v>
      </c>
      <c r="M27" s="26">
        <f t="shared" si="8"/>
        <v>2832.81110757202</v>
      </c>
      <c r="N27" s="26">
        <f t="shared" si="8"/>
        <v>3085.066764</v>
      </c>
      <c r="O27" s="26">
        <f t="shared" si="8"/>
        <v>3371.82774958675</v>
      </c>
      <c r="P27" s="26">
        <f t="shared" si="8"/>
        <v>3685.24354336574</v>
      </c>
      <c r="Q27" s="26">
        <f t="shared" si="8"/>
        <v>4027.79174457633</v>
      </c>
      <c r="R27" s="26">
        <f t="shared" si="8"/>
        <v>4402.18024854352</v>
      </c>
      <c r="S27" s="26">
        <f t="shared" si="8"/>
        <v>4811.368653</v>
      </c>
      <c r="T27" s="26">
        <f t="shared" si="8"/>
        <v>5038.1635216894</v>
      </c>
      <c r="U27" s="26">
        <f t="shared" si="8"/>
        <v>5275.64888536546</v>
      </c>
      <c r="V27" s="26">
        <f t="shared" si="8"/>
        <v>5524.32866496659</v>
      </c>
      <c r="W27" s="26">
        <f t="shared" si="8"/>
        <v>5784.73053489751</v>
      </c>
      <c r="X27" s="26">
        <f t="shared" si="8"/>
        <v>6057.40704270316</v>
      </c>
      <c r="Y27" s="26">
        <f t="shared" si="8"/>
        <v>6342.93678152115</v>
      </c>
      <c r="Z27" s="26">
        <f t="shared" si="8"/>
        <v>6641.92561780026</v>
      </c>
      <c r="AA27" s="26">
        <f t="shared" si="8"/>
        <v>6955.00797689044</v>
      </c>
      <c r="AB27" s="26">
        <f t="shared" si="8"/>
        <v>7282.84818923191</v>
      </c>
      <c r="AC27" s="26">
        <f t="shared" si="8"/>
        <v>7626.1419</v>
      </c>
      <c r="AD27" s="26">
        <f t="shared" si="8"/>
        <v>7795.07230816779</v>
      </c>
      <c r="AE27" s="26">
        <f t="shared" si="8"/>
        <v>7967.74477663003</v>
      </c>
      <c r="AF27" s="26">
        <f t="shared" si="8"/>
        <v>8144.24219759893</v>
      </c>
      <c r="AG27" s="26">
        <f t="shared" si="8"/>
        <v>8324.64929947278</v>
      </c>
      <c r="AH27" s="26">
        <f t="shared" si="8"/>
        <v>8509.05268751014</v>
      </c>
      <c r="AI27" s="26">
        <f t="shared" si="8"/>
        <v>8697.54088540511</v>
      </c>
      <c r="AJ27" s="26">
        <f t="shared" si="8"/>
        <v>8890.20437778355</v>
      </c>
      <c r="AK27" s="26">
        <f t="shared" si="8"/>
        <v>9087.13565364062</v>
      </c>
      <c r="AL27" s="26">
        <f t="shared" si="8"/>
        <v>9288.42925074057</v>
      </c>
      <c r="AM27" s="26">
        <f t="shared" si="8"/>
        <v>9494.181801</v>
      </c>
    </row>
    <row r="28" spans="1:43">
      <c r="A28" s="8" t="s">
        <v>153</v>
      </c>
      <c r="B28" s="12" t="s">
        <v>145</v>
      </c>
      <c r="C28" s="28">
        <f t="shared" ref="C28:AM28" si="9">C23+C25+C26</f>
        <v>38394.438</v>
      </c>
      <c r="D28" s="28">
        <f t="shared" si="9"/>
        <v>36722.1582</v>
      </c>
      <c r="E28" s="28">
        <f t="shared" si="9"/>
        <v>37369.9921346141</v>
      </c>
      <c r="F28" s="28">
        <f t="shared" si="9"/>
        <v>37971.3425492753</v>
      </c>
      <c r="G28" s="28">
        <f t="shared" si="9"/>
        <v>38529.0412664349</v>
      </c>
      <c r="H28" s="28">
        <f t="shared" si="9"/>
        <v>39045.9542730913</v>
      </c>
      <c r="I28" s="28">
        <f t="shared" si="9"/>
        <v>39525</v>
      </c>
      <c r="J28" s="28">
        <f t="shared" si="9"/>
        <v>40572.4916297785</v>
      </c>
      <c r="K28" s="28">
        <f t="shared" si="9"/>
        <v>41602.9358942997</v>
      </c>
      <c r="L28" s="28">
        <f t="shared" si="9"/>
        <v>42616.910781839</v>
      </c>
      <c r="M28" s="28">
        <f t="shared" si="9"/>
        <v>43615.0177217361</v>
      </c>
      <c r="N28" s="28">
        <f t="shared" si="9"/>
        <v>44597.884</v>
      </c>
      <c r="O28" s="28">
        <f t="shared" si="9"/>
        <v>44180.3552866992</v>
      </c>
      <c r="P28" s="28">
        <f t="shared" si="9"/>
        <v>43781.4312873829</v>
      </c>
      <c r="Q28" s="28">
        <f t="shared" si="9"/>
        <v>43401.3475755937</v>
      </c>
      <c r="R28" s="28">
        <f t="shared" si="9"/>
        <v>43040.3949032958</v>
      </c>
      <c r="S28" s="28">
        <f t="shared" si="9"/>
        <v>42698.9235687197</v>
      </c>
      <c r="T28" s="28">
        <f t="shared" si="9"/>
        <v>42628.9299088414</v>
      </c>
      <c r="U28" s="28">
        <f t="shared" si="9"/>
        <v>42569.0902865918</v>
      </c>
      <c r="V28" s="28">
        <f t="shared" si="9"/>
        <v>42519.4549101577</v>
      </c>
      <c r="W28" s="28">
        <f t="shared" si="9"/>
        <v>42480.0806481339</v>
      </c>
      <c r="X28" s="28">
        <f t="shared" si="9"/>
        <v>42451.031248526</v>
      </c>
      <c r="Y28" s="28">
        <f t="shared" si="9"/>
        <v>42432.3775692598</v>
      </c>
      <c r="Z28" s="28">
        <f t="shared" si="9"/>
        <v>42424.1978207176</v>
      </c>
      <c r="AA28" s="28">
        <f t="shared" si="9"/>
        <v>42426.5778208475</v>
      </c>
      <c r="AB28" s="28">
        <f t="shared" si="9"/>
        <v>42439.6112634157</v>
      </c>
      <c r="AC28" s="28">
        <f t="shared" si="9"/>
        <v>42463.4</v>
      </c>
      <c r="AD28" s="28">
        <f t="shared" si="9"/>
        <v>42489.0426304741</v>
      </c>
      <c r="AE28" s="28">
        <f t="shared" si="9"/>
        <v>42523.8332332105</v>
      </c>
      <c r="AF28" s="28">
        <f t="shared" si="9"/>
        <v>42567.7613427207</v>
      </c>
      <c r="AG28" s="28">
        <f t="shared" si="9"/>
        <v>42620.818671374</v>
      </c>
      <c r="AH28" s="28">
        <f t="shared" si="9"/>
        <v>42682.9991067308</v>
      </c>
      <c r="AI28" s="28">
        <f t="shared" si="9"/>
        <v>42754.2987094655</v>
      </c>
      <c r="AJ28" s="28">
        <f t="shared" si="9"/>
        <v>42834.7157118803</v>
      </c>
      <c r="AK28" s="28">
        <f t="shared" si="9"/>
        <v>42924.2505170101</v>
      </c>
      <c r="AL28" s="28">
        <f t="shared" si="9"/>
        <v>43022.9056983207</v>
      </c>
      <c r="AM28" s="28">
        <f t="shared" si="9"/>
        <v>43130.686</v>
      </c>
      <c r="AP28" s="7" t="s">
        <v>79</v>
      </c>
      <c r="AQ28" s="37" t="s">
        <v>80</v>
      </c>
    </row>
    <row r="29" spans="1:43">
      <c r="A29" s="8" t="s">
        <v>154</v>
      </c>
      <c r="B29" s="12" t="s">
        <v>145</v>
      </c>
      <c r="C29" s="28">
        <f t="shared" ref="C29:AM29" si="10">C24+C27</f>
        <v>113985.347229</v>
      </c>
      <c r="D29" s="28">
        <f t="shared" si="10"/>
        <v>108933.2845731</v>
      </c>
      <c r="E29" s="28">
        <f t="shared" si="10"/>
        <v>103868.481595315</v>
      </c>
      <c r="F29" s="28">
        <f t="shared" si="10"/>
        <v>98974.9459795938</v>
      </c>
      <c r="G29" s="28">
        <f t="shared" si="10"/>
        <v>94245.8359773875</v>
      </c>
      <c r="H29" s="28">
        <f t="shared" si="10"/>
        <v>89674.3132283812</v>
      </c>
      <c r="I29" s="28">
        <f t="shared" si="10"/>
        <v>85253.5125</v>
      </c>
      <c r="J29" s="28">
        <f t="shared" si="10"/>
        <v>82320.1716852747</v>
      </c>
      <c r="K29" s="28">
        <f t="shared" si="10"/>
        <v>79424.8308873549</v>
      </c>
      <c r="L29" s="28">
        <f t="shared" si="10"/>
        <v>76566.4812836735</v>
      </c>
      <c r="M29" s="28">
        <f t="shared" si="10"/>
        <v>73744.0778568396</v>
      </c>
      <c r="N29" s="28">
        <f t="shared" si="10"/>
        <v>70956.535572</v>
      </c>
      <c r="O29" s="28">
        <f t="shared" si="10"/>
        <v>68395.2280418636</v>
      </c>
      <c r="P29" s="28">
        <f t="shared" si="10"/>
        <v>65877.8978457169</v>
      </c>
      <c r="Q29" s="28">
        <f t="shared" si="10"/>
        <v>63402.5018165466</v>
      </c>
      <c r="R29" s="28">
        <f t="shared" si="10"/>
        <v>60966.9476969715</v>
      </c>
      <c r="S29" s="28">
        <f t="shared" si="10"/>
        <v>58569.0863732072</v>
      </c>
      <c r="T29" s="28">
        <f t="shared" si="10"/>
        <v>56698.8557972006</v>
      </c>
      <c r="U29" s="28">
        <f t="shared" si="10"/>
        <v>54843.7229241892</v>
      </c>
      <c r="V29" s="28">
        <f t="shared" si="10"/>
        <v>53003.119022888</v>
      </c>
      <c r="W29" s="28">
        <f t="shared" si="10"/>
        <v>51176.4725352171</v>
      </c>
      <c r="X29" s="28">
        <f t="shared" si="10"/>
        <v>49363.208609455</v>
      </c>
      <c r="Y29" s="28">
        <f t="shared" si="10"/>
        <v>47562.7486171188</v>
      </c>
      <c r="Z29" s="28">
        <f t="shared" si="10"/>
        <v>45774.5096527182</v>
      </c>
      <c r="AA29" s="28">
        <f t="shared" si="10"/>
        <v>43997.904015493</v>
      </c>
      <c r="AB29" s="28">
        <f t="shared" si="10"/>
        <v>42232.3386722036</v>
      </c>
      <c r="AC29" s="28">
        <f t="shared" si="10"/>
        <v>40477.2147</v>
      </c>
      <c r="AD29" s="28">
        <f t="shared" si="10"/>
        <v>38725.4803152058</v>
      </c>
      <c r="AE29" s="28">
        <f t="shared" si="10"/>
        <v>36986.5246457394</v>
      </c>
      <c r="AF29" s="28">
        <f t="shared" si="10"/>
        <v>35259.930989732</v>
      </c>
      <c r="AG29" s="28">
        <f t="shared" si="10"/>
        <v>33545.2860986783</v>
      </c>
      <c r="AH29" s="28">
        <f t="shared" si="10"/>
        <v>31842.1800719666</v>
      </c>
      <c r="AI29" s="28">
        <f t="shared" si="10"/>
        <v>30150.2062522242</v>
      </c>
      <c r="AJ29" s="28">
        <f t="shared" si="10"/>
        <v>28468.9611214459</v>
      </c>
      <c r="AK29" s="28">
        <f t="shared" si="10"/>
        <v>26798.0441978789</v>
      </c>
      <c r="AL29" s="28">
        <f t="shared" si="10"/>
        <v>25137.0579336347</v>
      </c>
      <c r="AM29" s="28">
        <f t="shared" si="10"/>
        <v>23485.607613</v>
      </c>
      <c r="AP29" s="7" t="s">
        <v>81</v>
      </c>
      <c r="AQ29" s="37" t="s">
        <v>82</v>
      </c>
    </row>
    <row r="30" ht="17.6" spans="1:43">
      <c r="A30" s="3" t="s">
        <v>155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P30" s="7" t="s">
        <v>83</v>
      </c>
      <c r="AQ30" s="37" t="s">
        <v>84</v>
      </c>
    </row>
    <row r="31" spans="1:39">
      <c r="A31" s="6" t="s">
        <v>156</v>
      </c>
      <c r="B31" s="12" t="s">
        <v>157</v>
      </c>
      <c r="C31" s="26">
        <f t="shared" ref="C31:AM31" si="11">C18*450+C19*550+C20*500</f>
        <v>46284394.5</v>
      </c>
      <c r="D31" s="26">
        <f t="shared" si="11"/>
        <v>44250104.55</v>
      </c>
      <c r="E31" s="26">
        <f t="shared" si="11"/>
        <v>43375512.7704307</v>
      </c>
      <c r="F31" s="26">
        <f t="shared" si="11"/>
        <v>42518934.8255308</v>
      </c>
      <c r="G31" s="26">
        <f t="shared" si="11"/>
        <v>41680251.3034699</v>
      </c>
      <c r="H31" s="26">
        <f t="shared" si="11"/>
        <v>40859374.0251057</v>
      </c>
      <c r="I31" s="26">
        <f t="shared" si="11"/>
        <v>40056250</v>
      </c>
      <c r="J31" s="26">
        <f t="shared" si="11"/>
        <v>39888301.7855257</v>
      </c>
      <c r="K31" s="26">
        <f t="shared" si="11"/>
        <v>39721272.9902216</v>
      </c>
      <c r="L31" s="26">
        <f t="shared" si="11"/>
        <v>39555250.6085751</v>
      </c>
      <c r="M31" s="26">
        <f t="shared" si="11"/>
        <v>39390328.1026937</v>
      </c>
      <c r="N31" s="26">
        <f t="shared" si="11"/>
        <v>39226606</v>
      </c>
      <c r="O31" s="26">
        <f t="shared" si="11"/>
        <v>38417308.5952954</v>
      </c>
      <c r="P31" s="26">
        <f t="shared" si="11"/>
        <v>37628457.6547397</v>
      </c>
      <c r="Q31" s="26">
        <f t="shared" si="11"/>
        <v>36859751.2409333</v>
      </c>
      <c r="R31" s="26">
        <f t="shared" si="11"/>
        <v>36110909.4259353</v>
      </c>
      <c r="S31" s="26">
        <f t="shared" si="11"/>
        <v>35381675.19609</v>
      </c>
      <c r="T31" s="26">
        <f t="shared" si="11"/>
        <v>34908636.7834936</v>
      </c>
      <c r="U31" s="26">
        <f t="shared" si="11"/>
        <v>34444541.8511958</v>
      </c>
      <c r="V31" s="26">
        <f t="shared" si="11"/>
        <v>33989293.77013</v>
      </c>
      <c r="W31" s="26">
        <f t="shared" si="11"/>
        <v>33542799.1969131</v>
      </c>
      <c r="X31" s="26">
        <f t="shared" si="11"/>
        <v>33104968.102046</v>
      </c>
      <c r="Y31" s="26">
        <f t="shared" si="11"/>
        <v>32675713.8013965</v>
      </c>
      <c r="Z31" s="26">
        <f t="shared" si="11"/>
        <v>32254952.9910875</v>
      </c>
      <c r="AA31" s="26">
        <f t="shared" si="11"/>
        <v>31842605.7859204</v>
      </c>
      <c r="AB31" s="26">
        <f t="shared" si="11"/>
        <v>31438595.761471</v>
      </c>
      <c r="AC31" s="26">
        <f t="shared" si="11"/>
        <v>31042850</v>
      </c>
      <c r="AD31" s="26">
        <f t="shared" si="11"/>
        <v>30644236.2868794</v>
      </c>
      <c r="AE31" s="26">
        <f t="shared" si="11"/>
        <v>30253329.1571847</v>
      </c>
      <c r="AF31" s="26">
        <f t="shared" si="11"/>
        <v>29870026.6327719</v>
      </c>
      <c r="AG31" s="26">
        <f t="shared" si="11"/>
        <v>29494228.6927509</v>
      </c>
      <c r="AH31" s="26">
        <f t="shared" si="11"/>
        <v>29125837.2481847</v>
      </c>
      <c r="AI31" s="26">
        <f t="shared" si="11"/>
        <v>28764756.1173006</v>
      </c>
      <c r="AJ31" s="26">
        <f t="shared" si="11"/>
        <v>28410891.0012075</v>
      </c>
      <c r="AK31" s="26">
        <f t="shared" si="11"/>
        <v>28064149.4601129</v>
      </c>
      <c r="AL31" s="26">
        <f t="shared" si="11"/>
        <v>27724440.8900344</v>
      </c>
      <c r="AM31" s="26">
        <f t="shared" si="11"/>
        <v>27391676.5</v>
      </c>
    </row>
    <row r="32" spans="1:39">
      <c r="A32" s="6" t="s">
        <v>158</v>
      </c>
      <c r="B32" s="12" t="s">
        <v>157</v>
      </c>
      <c r="C32" s="29">
        <v>0</v>
      </c>
      <c r="D32" s="29">
        <v>0.05</v>
      </c>
      <c r="E32" s="29">
        <v>0.0737886580797276</v>
      </c>
      <c r="F32" s="29">
        <v>0.108895321224139</v>
      </c>
      <c r="G32" s="29">
        <v>0.160704792485802</v>
      </c>
      <c r="H32" s="29">
        <v>0.237163819690168</v>
      </c>
      <c r="I32" s="29">
        <v>0.35</v>
      </c>
      <c r="J32" s="29">
        <v>0.383113074478105</v>
      </c>
      <c r="K32" s="29">
        <v>0.419358936674475</v>
      </c>
      <c r="L32" s="29">
        <v>0.459033975826363</v>
      </c>
      <c r="M32" s="29">
        <v>0.502462622196417</v>
      </c>
      <c r="N32" s="29">
        <v>0.55</v>
      </c>
      <c r="O32" s="29">
        <v>0.577177987564521</v>
      </c>
      <c r="P32" s="29">
        <v>0.605698962416419</v>
      </c>
      <c r="Q32" s="29">
        <v>0.635629287631686</v>
      </c>
      <c r="R32" s="29">
        <v>0.667038605586049</v>
      </c>
      <c r="S32" s="29">
        <v>0.7</v>
      </c>
      <c r="T32" s="29">
        <v>0.713723717009391</v>
      </c>
      <c r="U32" s="29">
        <v>0.727716491745287</v>
      </c>
      <c r="V32" s="29">
        <v>0.741983599167828</v>
      </c>
      <c r="W32" s="29">
        <v>0.756530417654383</v>
      </c>
      <c r="X32" s="29">
        <v>0.771362431027076</v>
      </c>
      <c r="Y32" s="29">
        <v>0.786485230620063</v>
      </c>
      <c r="Z32" s="29">
        <v>0.801904517387342</v>
      </c>
      <c r="AA32" s="29">
        <v>0.817626104051879</v>
      </c>
      <c r="AB32" s="29">
        <v>0.833655917296877</v>
      </c>
      <c r="AC32" s="29">
        <v>0.85</v>
      </c>
      <c r="AD32" s="29">
        <v>0.859506951812361</v>
      </c>
      <c r="AE32" s="29">
        <v>0.869120235545619</v>
      </c>
      <c r="AF32" s="29">
        <v>0.878841040485007</v>
      </c>
      <c r="AG32" s="29">
        <v>0.888670569217497</v>
      </c>
      <c r="AH32" s="29">
        <v>0.898610037780572</v>
      </c>
      <c r="AI32" s="29">
        <v>0.90866067581267</v>
      </c>
      <c r="AJ32" s="29">
        <v>0.918823726705304</v>
      </c>
      <c r="AK32" s="29">
        <v>0.929100447756882</v>
      </c>
      <c r="AL32" s="29">
        <v>0.939492110328255</v>
      </c>
      <c r="AM32" s="29">
        <v>0.950000000000001</v>
      </c>
    </row>
    <row r="33" spans="1:39">
      <c r="A33" s="6" t="s">
        <v>159</v>
      </c>
      <c r="B33" s="12" t="s">
        <v>157</v>
      </c>
      <c r="C33" s="26">
        <f t="shared" ref="C33:AM33" si="12">C31*C32</f>
        <v>0</v>
      </c>
      <c r="D33" s="26">
        <f t="shared" si="12"/>
        <v>2212505.2275</v>
      </c>
      <c r="E33" s="26">
        <f t="shared" si="12"/>
        <v>3200620.88085017</v>
      </c>
      <c r="F33" s="26">
        <f t="shared" si="12"/>
        <v>4630113.0659344</v>
      </c>
      <c r="G33" s="26">
        <f t="shared" si="12"/>
        <v>6698216.13648021</v>
      </c>
      <c r="H33" s="26">
        <f t="shared" si="12"/>
        <v>9690365.21394331</v>
      </c>
      <c r="I33" s="26">
        <f t="shared" si="12"/>
        <v>14019687.5</v>
      </c>
      <c r="J33" s="26">
        <f t="shared" si="12"/>
        <v>15281729.9327632</v>
      </c>
      <c r="K33" s="26">
        <f t="shared" si="12"/>
        <v>16657470.8045359</v>
      </c>
      <c r="L33" s="26">
        <f t="shared" si="12"/>
        <v>18157203.9516624</v>
      </c>
      <c r="M33" s="26">
        <f t="shared" si="12"/>
        <v>19792167.5476567</v>
      </c>
      <c r="N33" s="26">
        <f t="shared" si="12"/>
        <v>21574633.3</v>
      </c>
      <c r="O33" s="26">
        <f t="shared" si="12"/>
        <v>22173624.8626778</v>
      </c>
      <c r="P33" s="26">
        <f t="shared" si="12"/>
        <v>22791517.758806</v>
      </c>
      <c r="Q33" s="26">
        <f t="shared" si="12"/>
        <v>23429137.4235556</v>
      </c>
      <c r="R33" s="26">
        <f t="shared" si="12"/>
        <v>24087370.66992</v>
      </c>
      <c r="S33" s="26">
        <f t="shared" si="12"/>
        <v>24767172.637263</v>
      </c>
      <c r="T33" s="26">
        <f t="shared" si="12"/>
        <v>24915122.0008458</v>
      </c>
      <c r="U33" s="26">
        <f t="shared" si="12"/>
        <v>25065861.1557259</v>
      </c>
      <c r="V33" s="26">
        <f t="shared" si="12"/>
        <v>25219498.5247337</v>
      </c>
      <c r="W33" s="26">
        <f t="shared" si="12"/>
        <v>25376147.8857378</v>
      </c>
      <c r="X33" s="26">
        <f t="shared" si="12"/>
        <v>25535928.674268</v>
      </c>
      <c r="Y33" s="26">
        <f t="shared" si="12"/>
        <v>25698966.3047665</v>
      </c>
      <c r="Z33" s="26">
        <f t="shared" si="12"/>
        <v>25865392.5116694</v>
      </c>
      <c r="AA33" s="26">
        <f t="shared" si="12"/>
        <v>26035345.7116019</v>
      </c>
      <c r="AB33" s="26">
        <f t="shared" si="12"/>
        <v>26208971.3880549</v>
      </c>
      <c r="AC33" s="26">
        <f t="shared" si="12"/>
        <v>26386422.5</v>
      </c>
      <c r="AD33" s="26">
        <f t="shared" si="12"/>
        <v>26338934.1215535</v>
      </c>
      <c r="AE33" s="26">
        <f t="shared" si="12"/>
        <v>26293780.5631315</v>
      </c>
      <c r="AF33" s="26">
        <f t="shared" si="12"/>
        <v>26251005.2852601</v>
      </c>
      <c r="AG33" s="26">
        <f t="shared" si="12"/>
        <v>26210653.001018</v>
      </c>
      <c r="AH33" s="26">
        <f t="shared" si="12"/>
        <v>26172769.709982</v>
      </c>
      <c r="AI33" s="26">
        <f t="shared" si="12"/>
        <v>26137402.733133</v>
      </c>
      <c r="AJ33" s="26">
        <f t="shared" si="12"/>
        <v>26104600.7487477</v>
      </c>
      <c r="AK33" s="26">
        <f t="shared" si="12"/>
        <v>26074413.8293069</v>
      </c>
      <c r="AL33" s="26">
        <f t="shared" si="12"/>
        <v>26046893.4794494</v>
      </c>
      <c r="AM33" s="26">
        <f t="shared" si="12"/>
        <v>26022092.675</v>
      </c>
    </row>
    <row r="34" ht="17.6" spans="1:39">
      <c r="A34" s="3" t="s">
        <v>160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46" spans="1:39">
      <c r="A35" s="20" t="s">
        <v>161</v>
      </c>
      <c r="B35" s="12" t="s">
        <v>162</v>
      </c>
      <c r="C35" s="30" t="s">
        <v>163</v>
      </c>
      <c r="D35" s="30" t="s">
        <v>164</v>
      </c>
      <c r="E35" s="30" t="s">
        <v>165</v>
      </c>
      <c r="F35" s="30" t="s">
        <v>166</v>
      </c>
      <c r="G35" s="30" t="s">
        <v>167</v>
      </c>
      <c r="H35" s="30" t="s">
        <v>168</v>
      </c>
      <c r="I35" s="30" t="s">
        <v>166</v>
      </c>
      <c r="J35" s="30" t="s">
        <v>169</v>
      </c>
      <c r="K35" s="30" t="s">
        <v>170</v>
      </c>
      <c r="L35" s="30" t="s">
        <v>171</v>
      </c>
      <c r="M35" s="30" t="s">
        <v>172</v>
      </c>
      <c r="N35" s="30" t="s">
        <v>173</v>
      </c>
      <c r="O35" s="30" t="s">
        <v>174</v>
      </c>
      <c r="P35" s="30" t="s">
        <v>175</v>
      </c>
      <c r="Q35" s="30" t="s">
        <v>166</v>
      </c>
      <c r="R35" s="30" t="s">
        <v>166</v>
      </c>
      <c r="S35" s="30" t="s">
        <v>166</v>
      </c>
      <c r="T35" s="30" t="s">
        <v>166</v>
      </c>
      <c r="U35" s="30" t="s">
        <v>166</v>
      </c>
      <c r="V35" s="30" t="s">
        <v>176</v>
      </c>
      <c r="W35" s="30" t="s">
        <v>166</v>
      </c>
      <c r="X35" s="30" t="s">
        <v>166</v>
      </c>
      <c r="Y35" s="30" t="s">
        <v>166</v>
      </c>
      <c r="Z35" s="30" t="s">
        <v>177</v>
      </c>
      <c r="AA35" s="30" t="s">
        <v>166</v>
      </c>
      <c r="AB35" s="30" t="s">
        <v>166</v>
      </c>
      <c r="AC35" s="30" t="s">
        <v>166</v>
      </c>
      <c r="AD35" s="30" t="s">
        <v>166</v>
      </c>
      <c r="AE35" s="30" t="s">
        <v>166</v>
      </c>
      <c r="AF35" s="30" t="s">
        <v>166</v>
      </c>
      <c r="AG35" s="30" t="s">
        <v>166</v>
      </c>
      <c r="AH35" s="30" t="s">
        <v>166</v>
      </c>
      <c r="AI35" s="30" t="s">
        <v>166</v>
      </c>
      <c r="AJ35" s="30" t="s">
        <v>166</v>
      </c>
      <c r="AK35" s="30" t="s">
        <v>166</v>
      </c>
      <c r="AL35" s="30" t="s">
        <v>166</v>
      </c>
      <c r="AM35" s="30" t="s">
        <v>166</v>
      </c>
    </row>
    <row r="36" spans="1:39">
      <c r="A36" s="6" t="s">
        <v>178</v>
      </c>
      <c r="B36" s="12" t="s">
        <v>179</v>
      </c>
      <c r="C36" s="31">
        <v>0</v>
      </c>
      <c r="D36" s="31">
        <v>0.06</v>
      </c>
      <c r="E36" s="31">
        <v>0.00750000000000001</v>
      </c>
      <c r="F36" s="31">
        <v>0</v>
      </c>
      <c r="G36" s="31">
        <v>0.029</v>
      </c>
      <c r="H36" s="31">
        <v>0.023</v>
      </c>
      <c r="I36" s="31">
        <v>0</v>
      </c>
      <c r="J36" s="31">
        <v>0.00459999999999999</v>
      </c>
      <c r="K36" s="31">
        <v>0.0625</v>
      </c>
      <c r="L36" s="31">
        <v>0.002</v>
      </c>
      <c r="M36" s="31">
        <v>0.003</v>
      </c>
      <c r="N36" s="31">
        <v>0.037</v>
      </c>
      <c r="O36" s="31">
        <v>0.024</v>
      </c>
      <c r="P36" s="31">
        <v>0.00700000000000001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0.013</v>
      </c>
      <c r="W36" s="31">
        <v>0</v>
      </c>
      <c r="X36" s="31">
        <v>0</v>
      </c>
      <c r="Y36" s="31">
        <v>0</v>
      </c>
      <c r="Z36" s="31">
        <v>0.106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</row>
    <row r="37" spans="1:39">
      <c r="A37" s="8" t="s">
        <v>180</v>
      </c>
      <c r="B37" s="12" t="e">
        <f>上年累计+当年新增</f>
        <v>#NAME?</v>
      </c>
      <c r="C37" s="32">
        <f>C36</f>
        <v>0</v>
      </c>
      <c r="D37" s="32">
        <f t="shared" ref="D37:AM37" si="13">C37+D36</f>
        <v>0.06</v>
      </c>
      <c r="E37" s="32">
        <f t="shared" si="13"/>
        <v>0.0675</v>
      </c>
      <c r="F37" s="32">
        <f t="shared" si="13"/>
        <v>0.0675</v>
      </c>
      <c r="G37" s="32">
        <f t="shared" si="13"/>
        <v>0.0965</v>
      </c>
      <c r="H37" s="32">
        <f t="shared" si="13"/>
        <v>0.1195</v>
      </c>
      <c r="I37" s="32">
        <f t="shared" si="13"/>
        <v>0.1195</v>
      </c>
      <c r="J37" s="32">
        <f t="shared" si="13"/>
        <v>0.1241</v>
      </c>
      <c r="K37" s="32">
        <f t="shared" si="13"/>
        <v>0.1866</v>
      </c>
      <c r="L37" s="32">
        <f t="shared" si="13"/>
        <v>0.1886</v>
      </c>
      <c r="M37" s="32">
        <f t="shared" si="13"/>
        <v>0.1916</v>
      </c>
      <c r="N37" s="32">
        <f t="shared" si="13"/>
        <v>0.2286</v>
      </c>
      <c r="O37" s="32">
        <f t="shared" si="13"/>
        <v>0.2526</v>
      </c>
      <c r="P37" s="32">
        <f t="shared" si="13"/>
        <v>0.2596</v>
      </c>
      <c r="Q37" s="32">
        <f t="shared" si="13"/>
        <v>0.2596</v>
      </c>
      <c r="R37" s="32">
        <f t="shared" si="13"/>
        <v>0.2596</v>
      </c>
      <c r="S37" s="32">
        <f t="shared" si="13"/>
        <v>0.2596</v>
      </c>
      <c r="T37" s="32">
        <f t="shared" si="13"/>
        <v>0.2596</v>
      </c>
      <c r="U37" s="32">
        <f t="shared" si="13"/>
        <v>0.2596</v>
      </c>
      <c r="V37" s="32">
        <f t="shared" si="13"/>
        <v>0.2726</v>
      </c>
      <c r="W37" s="32">
        <f t="shared" si="13"/>
        <v>0.2726</v>
      </c>
      <c r="X37" s="32">
        <f t="shared" si="13"/>
        <v>0.2726</v>
      </c>
      <c r="Y37" s="32">
        <f t="shared" si="13"/>
        <v>0.2726</v>
      </c>
      <c r="Z37" s="32">
        <f t="shared" si="13"/>
        <v>0.3786</v>
      </c>
      <c r="AA37" s="32">
        <f t="shared" si="13"/>
        <v>0.3786</v>
      </c>
      <c r="AB37" s="32">
        <f t="shared" si="13"/>
        <v>0.3786</v>
      </c>
      <c r="AC37" s="32">
        <f t="shared" si="13"/>
        <v>0.3786</v>
      </c>
      <c r="AD37" s="32">
        <f t="shared" si="13"/>
        <v>0.3786</v>
      </c>
      <c r="AE37" s="32">
        <f t="shared" si="13"/>
        <v>0.3786</v>
      </c>
      <c r="AF37" s="32">
        <f t="shared" si="13"/>
        <v>0.3786</v>
      </c>
      <c r="AG37" s="32">
        <f t="shared" si="13"/>
        <v>0.3786</v>
      </c>
      <c r="AH37" s="32">
        <f t="shared" si="13"/>
        <v>0.3786</v>
      </c>
      <c r="AI37" s="32">
        <f t="shared" si="13"/>
        <v>0.3786</v>
      </c>
      <c r="AJ37" s="32">
        <f t="shared" si="13"/>
        <v>0.3786</v>
      </c>
      <c r="AK37" s="32">
        <f t="shared" si="13"/>
        <v>0.3786</v>
      </c>
      <c r="AL37" s="32">
        <f t="shared" si="13"/>
        <v>0.3786</v>
      </c>
      <c r="AM37" s="32">
        <f t="shared" si="13"/>
        <v>0.3786</v>
      </c>
    </row>
    <row r="38" spans="1:39">
      <c r="A38" s="12" t="s">
        <v>181</v>
      </c>
      <c r="B38" s="12" t="e">
        <f>模型累计+0.066</f>
        <v>#NAME?</v>
      </c>
      <c r="C38" s="33">
        <f t="shared" ref="C38:AM38" si="14">C37+0.066</f>
        <v>0.066</v>
      </c>
      <c r="D38" s="33">
        <f t="shared" si="14"/>
        <v>0.126</v>
      </c>
      <c r="E38" s="33">
        <f t="shared" si="14"/>
        <v>0.1335</v>
      </c>
      <c r="F38" s="33">
        <f t="shared" si="14"/>
        <v>0.1335</v>
      </c>
      <c r="G38" s="33">
        <f t="shared" si="14"/>
        <v>0.1625</v>
      </c>
      <c r="H38" s="33">
        <f t="shared" si="14"/>
        <v>0.1855</v>
      </c>
      <c r="I38" s="33">
        <f t="shared" si="14"/>
        <v>0.1855</v>
      </c>
      <c r="J38" s="33">
        <f t="shared" si="14"/>
        <v>0.1901</v>
      </c>
      <c r="K38" s="33">
        <f t="shared" si="14"/>
        <v>0.2526</v>
      </c>
      <c r="L38" s="33">
        <f t="shared" si="14"/>
        <v>0.2546</v>
      </c>
      <c r="M38" s="33">
        <f t="shared" si="14"/>
        <v>0.2576</v>
      </c>
      <c r="N38" s="33">
        <f t="shared" si="14"/>
        <v>0.2946</v>
      </c>
      <c r="O38" s="33">
        <f t="shared" si="14"/>
        <v>0.3186</v>
      </c>
      <c r="P38" s="33">
        <f t="shared" si="14"/>
        <v>0.3256</v>
      </c>
      <c r="Q38" s="33">
        <f t="shared" si="14"/>
        <v>0.3256</v>
      </c>
      <c r="R38" s="33">
        <f t="shared" si="14"/>
        <v>0.3256</v>
      </c>
      <c r="S38" s="33">
        <f t="shared" si="14"/>
        <v>0.3256</v>
      </c>
      <c r="T38" s="33">
        <f t="shared" si="14"/>
        <v>0.3256</v>
      </c>
      <c r="U38" s="33">
        <f t="shared" si="14"/>
        <v>0.3256</v>
      </c>
      <c r="V38" s="33">
        <f t="shared" si="14"/>
        <v>0.3386</v>
      </c>
      <c r="W38" s="33">
        <f t="shared" si="14"/>
        <v>0.3386</v>
      </c>
      <c r="X38" s="33">
        <f t="shared" si="14"/>
        <v>0.3386</v>
      </c>
      <c r="Y38" s="33">
        <f t="shared" si="14"/>
        <v>0.3386</v>
      </c>
      <c r="Z38" s="33">
        <f t="shared" si="14"/>
        <v>0.4446</v>
      </c>
      <c r="AA38" s="33">
        <f t="shared" si="14"/>
        <v>0.4446</v>
      </c>
      <c r="AB38" s="33">
        <f t="shared" si="14"/>
        <v>0.4446</v>
      </c>
      <c r="AC38" s="33">
        <f t="shared" si="14"/>
        <v>0.4446</v>
      </c>
      <c r="AD38" s="33">
        <f t="shared" si="14"/>
        <v>0.4446</v>
      </c>
      <c r="AE38" s="33">
        <f t="shared" si="14"/>
        <v>0.4446</v>
      </c>
      <c r="AF38" s="33">
        <f t="shared" si="14"/>
        <v>0.4446</v>
      </c>
      <c r="AG38" s="33">
        <f t="shared" si="14"/>
        <v>0.4446</v>
      </c>
      <c r="AH38" s="33">
        <f t="shared" si="14"/>
        <v>0.4446</v>
      </c>
      <c r="AI38" s="33">
        <f t="shared" si="14"/>
        <v>0.4446</v>
      </c>
      <c r="AJ38" s="33">
        <f t="shared" si="14"/>
        <v>0.4446</v>
      </c>
      <c r="AK38" s="33">
        <f t="shared" si="14"/>
        <v>0.4446</v>
      </c>
      <c r="AL38" s="33">
        <f t="shared" si="14"/>
        <v>0.4446</v>
      </c>
      <c r="AM38" s="33">
        <f t="shared" si="14"/>
        <v>0.4446</v>
      </c>
    </row>
    <row r="39" ht="17.6" spans="1:39">
      <c r="A39" s="3" t="s">
        <v>182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20" t="s">
        <v>183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>
      <c r="A41" s="6" t="s">
        <v>184</v>
      </c>
      <c r="B41" s="12" t="e">
        <f>粗钢产量×1.95</f>
        <v>#NAME?</v>
      </c>
      <c r="C41" s="26">
        <f t="shared" ref="C41:AM41" si="15">C13*1.95</f>
        <v>195992.55</v>
      </c>
      <c r="D41" s="26">
        <f t="shared" si="15"/>
        <v>187357.95</v>
      </c>
      <c r="E41" s="26">
        <f t="shared" si="15"/>
        <v>182821.979990952</v>
      </c>
      <c r="F41" s="26">
        <f t="shared" si="15"/>
        <v>178395.826639926</v>
      </c>
      <c r="G41" s="26">
        <f t="shared" si="15"/>
        <v>174076.831265681</v>
      </c>
      <c r="H41" s="26">
        <f t="shared" si="15"/>
        <v>169862.399554129</v>
      </c>
      <c r="I41" s="26">
        <f t="shared" si="15"/>
        <v>165750</v>
      </c>
      <c r="J41" s="26">
        <f t="shared" si="15"/>
        <v>164314.727513479</v>
      </c>
      <c r="K41" s="26">
        <f t="shared" si="15"/>
        <v>162891.883425815</v>
      </c>
      <c r="L41" s="26">
        <f t="shared" si="15"/>
        <v>161481.360116261</v>
      </c>
      <c r="M41" s="26">
        <f t="shared" si="15"/>
        <v>160083.050895984</v>
      </c>
      <c r="N41" s="26">
        <f t="shared" si="15"/>
        <v>158696.85</v>
      </c>
      <c r="O41" s="26">
        <f t="shared" si="15"/>
        <v>155082.041770152</v>
      </c>
      <c r="P41" s="26">
        <f t="shared" si="15"/>
        <v>151549.57190139</v>
      </c>
      <c r="Q41" s="26">
        <f t="shared" si="15"/>
        <v>148097.56488462</v>
      </c>
      <c r="R41" s="26">
        <f t="shared" si="15"/>
        <v>144724.187931231</v>
      </c>
      <c r="S41" s="26">
        <f t="shared" si="15"/>
        <v>141427.65</v>
      </c>
      <c r="T41" s="26">
        <f t="shared" si="15"/>
        <v>139204.54611472</v>
      </c>
      <c r="U41" s="26">
        <f t="shared" si="15"/>
        <v>137016.387241146</v>
      </c>
      <c r="V41" s="26">
        <f t="shared" si="15"/>
        <v>134862.624077982</v>
      </c>
      <c r="W41" s="26">
        <f t="shared" si="15"/>
        <v>132742.715958411</v>
      </c>
      <c r="X41" s="26">
        <f t="shared" si="15"/>
        <v>130656.130714368</v>
      </c>
      <c r="Y41" s="26">
        <f t="shared" si="15"/>
        <v>128602.344542946</v>
      </c>
      <c r="Z41" s="26">
        <f t="shared" si="15"/>
        <v>126580.841874906</v>
      </c>
      <c r="AA41" s="26">
        <f t="shared" si="15"/>
        <v>124591.115245254</v>
      </c>
      <c r="AB41" s="26">
        <f t="shared" si="15"/>
        <v>122632.665165846</v>
      </c>
      <c r="AC41" s="26">
        <f t="shared" si="15"/>
        <v>120705</v>
      </c>
      <c r="AD41" s="26">
        <f t="shared" si="15"/>
        <v>118784.425533153</v>
      </c>
      <c r="AE41" s="26">
        <f t="shared" si="15"/>
        <v>116894.409918738</v>
      </c>
      <c r="AF41" s="26">
        <f t="shared" si="15"/>
        <v>115034.466925431</v>
      </c>
      <c r="AG41" s="26">
        <f t="shared" si="15"/>
        <v>113204.118058489</v>
      </c>
      <c r="AH41" s="26">
        <f t="shared" si="15"/>
        <v>111402.892436642</v>
      </c>
      <c r="AI41" s="26">
        <f t="shared" si="15"/>
        <v>109630.32667096</v>
      </c>
      <c r="AJ41" s="26">
        <f t="shared" si="15"/>
        <v>107885.964745635</v>
      </c>
      <c r="AK41" s="26">
        <f t="shared" si="15"/>
        <v>106169.357900669</v>
      </c>
      <c r="AL41" s="26">
        <f t="shared" si="15"/>
        <v>104480.064516422</v>
      </c>
      <c r="AM41" s="26">
        <f t="shared" si="15"/>
        <v>102817.65</v>
      </c>
    </row>
    <row r="42" spans="1:39">
      <c r="A42" s="6" t="s">
        <v>185</v>
      </c>
      <c r="B42" s="12" t="e">
        <f>基准产量×1.95-当年曲线</f>
        <v>#NAME?</v>
      </c>
      <c r="C42" s="26">
        <f t="shared" ref="C42:AM42" si="16">100509*1.95-C41</f>
        <v>0</v>
      </c>
      <c r="D42" s="26">
        <f t="shared" si="16"/>
        <v>8634.60000000001</v>
      </c>
      <c r="E42" s="26">
        <f t="shared" si="16"/>
        <v>13170.5700090484</v>
      </c>
      <c r="F42" s="26">
        <f t="shared" si="16"/>
        <v>17596.723360074</v>
      </c>
      <c r="G42" s="26">
        <f t="shared" si="16"/>
        <v>21915.7187343194</v>
      </c>
      <c r="H42" s="26">
        <f t="shared" si="16"/>
        <v>26130.150445871</v>
      </c>
      <c r="I42" s="26">
        <f t="shared" si="16"/>
        <v>30242.55</v>
      </c>
      <c r="J42" s="26">
        <f t="shared" si="16"/>
        <v>31677.822486521</v>
      </c>
      <c r="K42" s="26">
        <f t="shared" si="16"/>
        <v>33100.6665741849</v>
      </c>
      <c r="L42" s="26">
        <f t="shared" si="16"/>
        <v>34511.1898837393</v>
      </c>
      <c r="M42" s="26">
        <f t="shared" si="16"/>
        <v>35909.499104016</v>
      </c>
      <c r="N42" s="26">
        <f t="shared" si="16"/>
        <v>37295.7</v>
      </c>
      <c r="O42" s="26">
        <f t="shared" si="16"/>
        <v>40910.5082298484</v>
      </c>
      <c r="P42" s="26">
        <f t="shared" si="16"/>
        <v>44442.9780986104</v>
      </c>
      <c r="Q42" s="26">
        <f t="shared" si="16"/>
        <v>47894.9851153795</v>
      </c>
      <c r="R42" s="26">
        <f t="shared" si="16"/>
        <v>51268.3620687686</v>
      </c>
      <c r="S42" s="26">
        <f t="shared" si="16"/>
        <v>54564.9</v>
      </c>
      <c r="T42" s="26">
        <f t="shared" si="16"/>
        <v>56788.0038852799</v>
      </c>
      <c r="U42" s="26">
        <f t="shared" si="16"/>
        <v>58976.1627588542</v>
      </c>
      <c r="V42" s="26">
        <f t="shared" si="16"/>
        <v>61129.9259220178</v>
      </c>
      <c r="W42" s="26">
        <f t="shared" si="16"/>
        <v>63249.8340415885</v>
      </c>
      <c r="X42" s="26">
        <f t="shared" si="16"/>
        <v>65336.419285632</v>
      </c>
      <c r="Y42" s="26">
        <f t="shared" si="16"/>
        <v>67390.2054570543</v>
      </c>
      <c r="Z42" s="26">
        <f t="shared" si="16"/>
        <v>69411.7081250936</v>
      </c>
      <c r="AA42" s="26">
        <f t="shared" si="16"/>
        <v>71401.4347547456</v>
      </c>
      <c r="AB42" s="26">
        <f t="shared" si="16"/>
        <v>73359.8848341542</v>
      </c>
      <c r="AC42" s="26">
        <f t="shared" si="16"/>
        <v>75287.55</v>
      </c>
      <c r="AD42" s="26">
        <f t="shared" si="16"/>
        <v>77208.1244668467</v>
      </c>
      <c r="AE42" s="26">
        <f t="shared" si="16"/>
        <v>79098.1400812622</v>
      </c>
      <c r="AF42" s="26">
        <f t="shared" si="16"/>
        <v>80958.0830745686</v>
      </c>
      <c r="AG42" s="26">
        <f t="shared" si="16"/>
        <v>82788.4319415112</v>
      </c>
      <c r="AH42" s="26">
        <f t="shared" si="16"/>
        <v>84589.6575633581</v>
      </c>
      <c r="AI42" s="26">
        <f t="shared" si="16"/>
        <v>86362.2233290404</v>
      </c>
      <c r="AJ42" s="26">
        <f t="shared" si="16"/>
        <v>88106.585254365</v>
      </c>
      <c r="AK42" s="26">
        <f t="shared" si="16"/>
        <v>89823.1920993308</v>
      </c>
      <c r="AL42" s="26">
        <f t="shared" si="16"/>
        <v>91512.4854835778</v>
      </c>
      <c r="AM42" s="26">
        <f t="shared" si="16"/>
        <v>93174.9</v>
      </c>
    </row>
    <row r="43" spans="1:39">
      <c r="A43" s="20" t="s">
        <v>186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>
      <c r="A44" s="6" t="s">
        <v>187</v>
      </c>
      <c r="B44" s="12"/>
      <c r="C44" s="26">
        <f t="shared" ref="C44:AM44" si="17">((C28-38394.44)/1.1)*(1.8-0.45)</f>
        <v>-0.0024545454639751</v>
      </c>
      <c r="D44" s="26">
        <f t="shared" si="17"/>
        <v>-2052.34584545454</v>
      </c>
      <c r="E44" s="26">
        <f t="shared" si="17"/>
        <v>-1257.27692570083</v>
      </c>
      <c r="F44" s="26">
        <f t="shared" si="17"/>
        <v>-519.255962253087</v>
      </c>
      <c r="G44" s="26">
        <f t="shared" si="17"/>
        <v>165.192463351954</v>
      </c>
      <c r="H44" s="26">
        <f t="shared" si="17"/>
        <v>799.585698793921</v>
      </c>
      <c r="I44" s="26">
        <f t="shared" si="17"/>
        <v>1387.50545454545</v>
      </c>
      <c r="J44" s="26">
        <f t="shared" si="17"/>
        <v>2673.06336381903</v>
      </c>
      <c r="K44" s="26">
        <f t="shared" si="17"/>
        <v>3937.69950664052</v>
      </c>
      <c r="L44" s="26">
        <f t="shared" si="17"/>
        <v>5182.12323225701</v>
      </c>
      <c r="M44" s="26">
        <f t="shared" si="17"/>
        <v>6407.07265849426</v>
      </c>
      <c r="N44" s="26">
        <f t="shared" si="17"/>
        <v>7613.31763636364</v>
      </c>
      <c r="O44" s="26">
        <f t="shared" si="17"/>
        <v>7100.89603367633</v>
      </c>
      <c r="P44" s="26">
        <f t="shared" si="17"/>
        <v>6611.3074890608</v>
      </c>
      <c r="Q44" s="26">
        <f t="shared" si="17"/>
        <v>6144.84111550134</v>
      </c>
      <c r="R44" s="26">
        <f t="shared" si="17"/>
        <v>5701.85374495393</v>
      </c>
      <c r="S44" s="26">
        <f t="shared" si="17"/>
        <v>5282.7752888833</v>
      </c>
      <c r="T44" s="26">
        <f t="shared" si="17"/>
        <v>5196.87397903261</v>
      </c>
      <c r="U44" s="26">
        <f t="shared" si="17"/>
        <v>5123.43444263539</v>
      </c>
      <c r="V44" s="26">
        <f t="shared" si="17"/>
        <v>5062.51829882988</v>
      </c>
      <c r="W44" s="26">
        <f t="shared" si="17"/>
        <v>5014.19534089161</v>
      </c>
      <c r="X44" s="26">
        <f t="shared" si="17"/>
        <v>4978.54380500919</v>
      </c>
      <c r="Y44" s="26">
        <f t="shared" si="17"/>
        <v>4955.65065318244</v>
      </c>
      <c r="Z44" s="26">
        <f t="shared" si="17"/>
        <v>4945.61187088067</v>
      </c>
      <c r="AA44" s="26">
        <f t="shared" si="17"/>
        <v>4948.53278013106</v>
      </c>
      <c r="AB44" s="26">
        <f t="shared" si="17"/>
        <v>4964.52836873739</v>
      </c>
      <c r="AC44" s="26">
        <f t="shared" si="17"/>
        <v>4993.72363636364</v>
      </c>
      <c r="AD44" s="26">
        <f t="shared" si="17"/>
        <v>5025.19413739998</v>
      </c>
      <c r="AE44" s="26">
        <f t="shared" si="17"/>
        <v>5067.89169530379</v>
      </c>
      <c r="AF44" s="26">
        <f t="shared" si="17"/>
        <v>5121.80346606632</v>
      </c>
      <c r="AG44" s="26">
        <f t="shared" si="17"/>
        <v>5186.9192785045</v>
      </c>
      <c r="AH44" s="26">
        <f t="shared" si="17"/>
        <v>5263.23163098785</v>
      </c>
      <c r="AI44" s="26">
        <f t="shared" si="17"/>
        <v>5350.73568888952</v>
      </c>
      <c r="AJ44" s="26">
        <f t="shared" si="17"/>
        <v>5449.42928276213</v>
      </c>
      <c r="AK44" s="26">
        <f t="shared" si="17"/>
        <v>5559.31290723964</v>
      </c>
      <c r="AL44" s="26">
        <f t="shared" si="17"/>
        <v>5680.3897206663</v>
      </c>
      <c r="AM44" s="26">
        <f t="shared" si="17"/>
        <v>5812.66554545459</v>
      </c>
    </row>
    <row r="45" spans="1:39">
      <c r="A45" s="6" t="s">
        <v>188</v>
      </c>
      <c r="B45" s="12" t="e">
        <f>产量曲线-原料降碳</f>
        <v>#NAME?</v>
      </c>
      <c r="C45" s="26">
        <f t="shared" ref="C45:AM45" si="18">C41-C44</f>
        <v>195992.552454545</v>
      </c>
      <c r="D45" s="26">
        <f t="shared" si="18"/>
        <v>189410.295845455</v>
      </c>
      <c r="E45" s="26">
        <f t="shared" si="18"/>
        <v>184079.256916652</v>
      </c>
      <c r="F45" s="26">
        <f t="shared" si="18"/>
        <v>178915.082602179</v>
      </c>
      <c r="G45" s="26">
        <f t="shared" si="18"/>
        <v>173911.638802329</v>
      </c>
      <c r="H45" s="26">
        <f t="shared" si="18"/>
        <v>169062.813855335</v>
      </c>
      <c r="I45" s="26">
        <f t="shared" si="18"/>
        <v>164362.494545455</v>
      </c>
      <c r="J45" s="26">
        <f t="shared" si="18"/>
        <v>161641.66414966</v>
      </c>
      <c r="K45" s="26">
        <f t="shared" si="18"/>
        <v>158954.183919175</v>
      </c>
      <c r="L45" s="26">
        <f t="shared" si="18"/>
        <v>156299.236884004</v>
      </c>
      <c r="M45" s="26">
        <f t="shared" si="18"/>
        <v>153675.97823749</v>
      </c>
      <c r="N45" s="26">
        <f t="shared" si="18"/>
        <v>151083.532363636</v>
      </c>
      <c r="O45" s="26">
        <f t="shared" si="18"/>
        <v>147981.145736475</v>
      </c>
      <c r="P45" s="26">
        <f t="shared" si="18"/>
        <v>144938.264412329</v>
      </c>
      <c r="Q45" s="26">
        <f t="shared" si="18"/>
        <v>141952.723769119</v>
      </c>
      <c r="R45" s="26">
        <f t="shared" si="18"/>
        <v>139022.334186277</v>
      </c>
      <c r="S45" s="26">
        <f t="shared" si="18"/>
        <v>136144.874711117</v>
      </c>
      <c r="T45" s="26">
        <f t="shared" si="18"/>
        <v>134007.672135687</v>
      </c>
      <c r="U45" s="26">
        <f t="shared" si="18"/>
        <v>131892.95279851</v>
      </c>
      <c r="V45" s="26">
        <f t="shared" si="18"/>
        <v>129800.105779152</v>
      </c>
      <c r="W45" s="26">
        <f t="shared" si="18"/>
        <v>127728.52061752</v>
      </c>
      <c r="X45" s="26">
        <f t="shared" si="18"/>
        <v>125677.586909359</v>
      </c>
      <c r="Y45" s="26">
        <f t="shared" si="18"/>
        <v>123646.693889763</v>
      </c>
      <c r="Z45" s="26">
        <f t="shared" si="18"/>
        <v>121635.230004026</v>
      </c>
      <c r="AA45" s="26">
        <f t="shared" si="18"/>
        <v>119642.582465123</v>
      </c>
      <c r="AB45" s="26">
        <f t="shared" si="18"/>
        <v>117668.136797108</v>
      </c>
      <c r="AC45" s="26">
        <f t="shared" si="18"/>
        <v>115711.276363636</v>
      </c>
      <c r="AD45" s="26">
        <f t="shared" si="18"/>
        <v>113759.231395753</v>
      </c>
      <c r="AE45" s="26">
        <f t="shared" si="18"/>
        <v>111826.518223434</v>
      </c>
      <c r="AF45" s="26">
        <f t="shared" si="18"/>
        <v>109912.663459365</v>
      </c>
      <c r="AG45" s="26">
        <f t="shared" si="18"/>
        <v>108017.198779984</v>
      </c>
      <c r="AH45" s="26">
        <f t="shared" si="18"/>
        <v>106139.660805654</v>
      </c>
      <c r="AI45" s="26">
        <f t="shared" si="18"/>
        <v>104279.59098207</v>
      </c>
      <c r="AJ45" s="26">
        <f t="shared" si="18"/>
        <v>102436.535462873</v>
      </c>
      <c r="AK45" s="26">
        <f t="shared" si="18"/>
        <v>100610.04499343</v>
      </c>
      <c r="AL45" s="26">
        <f t="shared" si="18"/>
        <v>98799.6747957559</v>
      </c>
      <c r="AM45" s="26">
        <f t="shared" si="18"/>
        <v>97004.9844545455</v>
      </c>
    </row>
    <row r="46" spans="1:39">
      <c r="A46" s="20" t="s">
        <v>189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>
      <c r="A47" s="6" t="s">
        <v>190</v>
      </c>
      <c r="B47" s="12"/>
      <c r="C47" s="26">
        <f t="shared" ref="C47:AM47" si="19">(C25-11055.99)*1.26</f>
        <v>0</v>
      </c>
      <c r="D47" s="26">
        <f t="shared" si="19"/>
        <v>-613.720799999998</v>
      </c>
      <c r="E47" s="26">
        <f t="shared" si="19"/>
        <v>1662.76117030517</v>
      </c>
      <c r="F47" s="26">
        <f t="shared" si="19"/>
        <v>3821.20962626218</v>
      </c>
      <c r="G47" s="26">
        <f t="shared" si="19"/>
        <v>5866.00547255248</v>
      </c>
      <c r="H47" s="26">
        <f t="shared" si="19"/>
        <v>7801.38667218672</v>
      </c>
      <c r="I47" s="26">
        <f t="shared" si="19"/>
        <v>9631.4526</v>
      </c>
      <c r="J47" s="26">
        <f t="shared" si="19"/>
        <v>11763.2201453385</v>
      </c>
      <c r="K47" s="26">
        <f t="shared" si="19"/>
        <v>13856.3018834683</v>
      </c>
      <c r="L47" s="26">
        <f t="shared" si="19"/>
        <v>15911.207949485</v>
      </c>
      <c r="M47" s="26">
        <f t="shared" si="19"/>
        <v>17928.4425444684</v>
      </c>
      <c r="N47" s="26">
        <f t="shared" si="19"/>
        <v>19908.504</v>
      </c>
      <c r="O47" s="26">
        <f t="shared" si="19"/>
        <v>20043.7747942154</v>
      </c>
      <c r="P47" s="26">
        <f t="shared" si="19"/>
        <v>20179.5863301778</v>
      </c>
      <c r="Q47" s="26">
        <f t="shared" si="19"/>
        <v>20315.9407694892</v>
      </c>
      <c r="R47" s="26">
        <f t="shared" si="19"/>
        <v>20452.8402823927</v>
      </c>
      <c r="S47" s="26">
        <f t="shared" si="19"/>
        <v>20590.2870478069</v>
      </c>
      <c r="T47" s="26">
        <f t="shared" si="19"/>
        <v>20978.6445206875</v>
      </c>
      <c r="U47" s="26">
        <f t="shared" si="19"/>
        <v>21371.3709935983</v>
      </c>
      <c r="V47" s="26">
        <f t="shared" si="19"/>
        <v>21768.5156175471</v>
      </c>
      <c r="W47" s="26">
        <f t="shared" si="19"/>
        <v>22170.1280964883</v>
      </c>
      <c r="X47" s="26">
        <f t="shared" si="19"/>
        <v>22576.2586935425</v>
      </c>
      <c r="Y47" s="26">
        <f t="shared" si="19"/>
        <v>22986.9582372881</v>
      </c>
      <c r="Z47" s="26">
        <f t="shared" si="19"/>
        <v>23402.2781281219</v>
      </c>
      <c r="AA47" s="26">
        <f t="shared" si="19"/>
        <v>23822.2703446923</v>
      </c>
      <c r="AB47" s="26">
        <f t="shared" si="19"/>
        <v>24246.9874504048</v>
      </c>
      <c r="AC47" s="26">
        <f t="shared" si="19"/>
        <v>24676.4826</v>
      </c>
      <c r="AD47" s="26">
        <f t="shared" si="19"/>
        <v>25171.05074181</v>
      </c>
      <c r="AE47" s="26">
        <f t="shared" si="19"/>
        <v>25671.9544563614</v>
      </c>
      <c r="AF47" s="26">
        <f t="shared" si="19"/>
        <v>26179.2749043246</v>
      </c>
      <c r="AG47" s="26">
        <f t="shared" si="19"/>
        <v>26693.0942860636</v>
      </c>
      <c r="AH47" s="26">
        <f t="shared" si="19"/>
        <v>27213.4958549549</v>
      </c>
      <c r="AI47" s="26">
        <f t="shared" si="19"/>
        <v>27740.5639308766</v>
      </c>
      <c r="AJ47" s="26">
        <f t="shared" si="19"/>
        <v>28274.3839138712</v>
      </c>
      <c r="AK47" s="26">
        <f t="shared" si="19"/>
        <v>28815.0422979821</v>
      </c>
      <c r="AL47" s="26">
        <f t="shared" si="19"/>
        <v>29362.6266852686</v>
      </c>
      <c r="AM47" s="26">
        <f t="shared" si="19"/>
        <v>29917.2258000001</v>
      </c>
    </row>
    <row r="48" spans="1:39">
      <c r="A48" s="6" t="s">
        <v>191</v>
      </c>
      <c r="B48" s="12" t="e">
        <f>原料曲线-短流程降碳</f>
        <v>#NAME?</v>
      </c>
      <c r="C48" s="26">
        <f t="shared" ref="C48:AM48" si="20">C45-C47</f>
        <v>195992.552454545</v>
      </c>
      <c r="D48" s="26">
        <f t="shared" si="20"/>
        <v>190024.016645455</v>
      </c>
      <c r="E48" s="26">
        <f t="shared" si="20"/>
        <v>182416.495746347</v>
      </c>
      <c r="F48" s="26">
        <f t="shared" si="20"/>
        <v>175093.872975917</v>
      </c>
      <c r="G48" s="26">
        <f t="shared" si="20"/>
        <v>168045.633329776</v>
      </c>
      <c r="H48" s="26">
        <f t="shared" si="20"/>
        <v>161261.427183148</v>
      </c>
      <c r="I48" s="26">
        <f t="shared" si="20"/>
        <v>154731.041945455</v>
      </c>
      <c r="J48" s="26">
        <f t="shared" si="20"/>
        <v>149878.444004321</v>
      </c>
      <c r="K48" s="26">
        <f t="shared" si="20"/>
        <v>145097.882035706</v>
      </c>
      <c r="L48" s="26">
        <f t="shared" si="20"/>
        <v>140388.028934519</v>
      </c>
      <c r="M48" s="26">
        <f t="shared" si="20"/>
        <v>135747.535693021</v>
      </c>
      <c r="N48" s="26">
        <f t="shared" si="20"/>
        <v>131175.028363636</v>
      </c>
      <c r="O48" s="26">
        <f t="shared" si="20"/>
        <v>127937.37094226</v>
      </c>
      <c r="P48" s="26">
        <f t="shared" si="20"/>
        <v>124758.678082151</v>
      </c>
      <c r="Q48" s="26">
        <f t="shared" si="20"/>
        <v>121636.78299963</v>
      </c>
      <c r="R48" s="26">
        <f t="shared" si="20"/>
        <v>118569.493903885</v>
      </c>
      <c r="S48" s="26">
        <f t="shared" si="20"/>
        <v>115554.58766331</v>
      </c>
      <c r="T48" s="26">
        <f t="shared" si="20"/>
        <v>113029.027615</v>
      </c>
      <c r="U48" s="26">
        <f t="shared" si="20"/>
        <v>110521.581804912</v>
      </c>
      <c r="V48" s="26">
        <f t="shared" si="20"/>
        <v>108031.590161605</v>
      </c>
      <c r="W48" s="26">
        <f t="shared" si="20"/>
        <v>105558.392521032</v>
      </c>
      <c r="X48" s="26">
        <f t="shared" si="20"/>
        <v>103101.328215816</v>
      </c>
      <c r="Y48" s="26">
        <f t="shared" si="20"/>
        <v>100659.735652475</v>
      </c>
      <c r="Z48" s="26">
        <f t="shared" si="20"/>
        <v>98232.9518759039</v>
      </c>
      <c r="AA48" s="26">
        <f t="shared" si="20"/>
        <v>95820.3121204311</v>
      </c>
      <c r="AB48" s="26">
        <f t="shared" si="20"/>
        <v>93421.1493467036</v>
      </c>
      <c r="AC48" s="26">
        <f t="shared" si="20"/>
        <v>91034.7937636364</v>
      </c>
      <c r="AD48" s="26">
        <f t="shared" si="20"/>
        <v>88588.1806539433</v>
      </c>
      <c r="AE48" s="26">
        <f t="shared" si="20"/>
        <v>86154.5637670726</v>
      </c>
      <c r="AF48" s="26">
        <f t="shared" si="20"/>
        <v>83733.3885550405</v>
      </c>
      <c r="AG48" s="26">
        <f t="shared" si="20"/>
        <v>81324.1044939207</v>
      </c>
      <c r="AH48" s="26">
        <f t="shared" si="20"/>
        <v>78926.1649506992</v>
      </c>
      <c r="AI48" s="26">
        <f t="shared" si="20"/>
        <v>76539.0270511934</v>
      </c>
      <c r="AJ48" s="26">
        <f t="shared" si="20"/>
        <v>74162.1515490016</v>
      </c>
      <c r="AK48" s="26">
        <f t="shared" si="20"/>
        <v>71795.0026954475</v>
      </c>
      <c r="AL48" s="26">
        <f t="shared" si="20"/>
        <v>69437.0481104873</v>
      </c>
      <c r="AM48" s="26">
        <f t="shared" si="20"/>
        <v>67087.7586545454</v>
      </c>
    </row>
    <row r="49" spans="1:39">
      <c r="A49" s="20" t="s">
        <v>192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>
      <c r="A50" s="6" t="s">
        <v>193</v>
      </c>
      <c r="B50" s="12"/>
      <c r="C50" s="26">
        <f t="shared" ref="C50:AM50" si="21">((C27-952.52)/1.65)*1.26</f>
        <v>0.00289647272716552</v>
      </c>
      <c r="D50" s="26">
        <f t="shared" si="21"/>
        <v>37.4911859890911</v>
      </c>
      <c r="E50" s="26">
        <f t="shared" si="21"/>
        <v>152.156702098151</v>
      </c>
      <c r="F50" s="26">
        <f t="shared" si="21"/>
        <v>284.012301424129</v>
      </c>
      <c r="G50" s="26">
        <f t="shared" si="21"/>
        <v>435.635035647703</v>
      </c>
      <c r="H50" s="26">
        <f t="shared" si="21"/>
        <v>609.988295205508</v>
      </c>
      <c r="I50" s="26">
        <f t="shared" si="21"/>
        <v>810.479727272727</v>
      </c>
      <c r="J50" s="26">
        <f t="shared" si="21"/>
        <v>947.422687843731</v>
      </c>
      <c r="K50" s="26">
        <f t="shared" si="21"/>
        <v>1096.56012065459</v>
      </c>
      <c r="L50" s="26">
        <f t="shared" si="21"/>
        <v>1258.97791688647</v>
      </c>
      <c r="M50" s="26">
        <f t="shared" si="21"/>
        <v>1435.85866396409</v>
      </c>
      <c r="N50" s="26">
        <f t="shared" si="21"/>
        <v>1628.49025614545</v>
      </c>
      <c r="O50" s="26">
        <f t="shared" si="21"/>
        <v>1847.4713724117</v>
      </c>
      <c r="P50" s="26">
        <f t="shared" si="21"/>
        <v>2086.80706947929</v>
      </c>
      <c r="Q50" s="26">
        <f t="shared" si="21"/>
        <v>2348.38933222192</v>
      </c>
      <c r="R50" s="26">
        <f t="shared" si="21"/>
        <v>2634.28600797869</v>
      </c>
      <c r="S50" s="26">
        <f t="shared" si="21"/>
        <v>2946.7571532</v>
      </c>
      <c r="T50" s="26">
        <f t="shared" si="21"/>
        <v>3119.94596201736</v>
      </c>
      <c r="U50" s="26">
        <f t="shared" si="21"/>
        <v>3301.2984215518</v>
      </c>
      <c r="V50" s="26">
        <f t="shared" si="21"/>
        <v>3491.19934415631</v>
      </c>
      <c r="W50" s="26">
        <f t="shared" si="21"/>
        <v>3690.05168119446</v>
      </c>
      <c r="X50" s="26">
        <f t="shared" si="21"/>
        <v>3898.27737806424</v>
      </c>
      <c r="Y50" s="26">
        <f t="shared" si="21"/>
        <v>4116.31826952524</v>
      </c>
      <c r="Z50" s="26">
        <f t="shared" si="21"/>
        <v>4344.63701722929</v>
      </c>
      <c r="AA50" s="26">
        <f t="shared" si="21"/>
        <v>4583.71809144361</v>
      </c>
      <c r="AB50" s="26">
        <f t="shared" si="21"/>
        <v>4834.06879904982</v>
      </c>
      <c r="AC50" s="26">
        <f t="shared" si="21"/>
        <v>5096.22036</v>
      </c>
      <c r="AD50" s="26">
        <f t="shared" si="21"/>
        <v>5225.22176260086</v>
      </c>
      <c r="AE50" s="26">
        <f t="shared" si="21"/>
        <v>5357.08073851747</v>
      </c>
      <c r="AF50" s="26">
        <f t="shared" si="21"/>
        <v>5491.86058725736</v>
      </c>
      <c r="AG50" s="26">
        <f t="shared" si="21"/>
        <v>5629.62601050649</v>
      </c>
      <c r="AH50" s="26">
        <f t="shared" si="21"/>
        <v>5770.44314318956</v>
      </c>
      <c r="AI50" s="26">
        <f t="shared" si="21"/>
        <v>5914.37958521845</v>
      </c>
      <c r="AJ50" s="26">
        <f t="shared" si="21"/>
        <v>6061.5044339438</v>
      </c>
      <c r="AK50" s="26">
        <f t="shared" si="21"/>
        <v>6211.88831732557</v>
      </c>
      <c r="AL50" s="26">
        <f t="shared" si="21"/>
        <v>6365.60342783825</v>
      </c>
      <c r="AM50" s="26">
        <f t="shared" si="21"/>
        <v>6522.72355712727</v>
      </c>
    </row>
    <row r="51" spans="1:39">
      <c r="A51" s="6" t="s">
        <v>194</v>
      </c>
      <c r="B51" s="12" t="e">
        <f>短流程曲线-氢冶金降碳</f>
        <v>#NAME?</v>
      </c>
      <c r="C51" s="26">
        <f t="shared" ref="C51:AM51" si="22">C48-C50</f>
        <v>195992.549558073</v>
      </c>
      <c r="D51" s="26">
        <f t="shared" si="22"/>
        <v>189986.525459465</v>
      </c>
      <c r="E51" s="26">
        <f t="shared" si="22"/>
        <v>182264.339044249</v>
      </c>
      <c r="F51" s="26">
        <f t="shared" si="22"/>
        <v>174809.860674493</v>
      </c>
      <c r="G51" s="26">
        <f t="shared" si="22"/>
        <v>167609.998294129</v>
      </c>
      <c r="H51" s="26">
        <f t="shared" si="22"/>
        <v>160651.438887943</v>
      </c>
      <c r="I51" s="26">
        <f t="shared" si="22"/>
        <v>153920.562218182</v>
      </c>
      <c r="J51" s="26">
        <f t="shared" si="22"/>
        <v>148931.021316478</v>
      </c>
      <c r="K51" s="26">
        <f t="shared" si="22"/>
        <v>144001.321915052</v>
      </c>
      <c r="L51" s="26">
        <f t="shared" si="22"/>
        <v>139129.051017632</v>
      </c>
      <c r="M51" s="26">
        <f t="shared" si="22"/>
        <v>134311.677029057</v>
      </c>
      <c r="N51" s="26">
        <f t="shared" si="22"/>
        <v>129546.538107491</v>
      </c>
      <c r="O51" s="26">
        <f t="shared" si="22"/>
        <v>126089.899569848</v>
      </c>
      <c r="P51" s="26">
        <f t="shared" si="22"/>
        <v>122671.871012672</v>
      </c>
      <c r="Q51" s="26">
        <f t="shared" si="22"/>
        <v>119288.393667408</v>
      </c>
      <c r="R51" s="26">
        <f t="shared" si="22"/>
        <v>115935.207895906</v>
      </c>
      <c r="S51" s="26">
        <f t="shared" si="22"/>
        <v>112607.83051011</v>
      </c>
      <c r="T51" s="26">
        <f t="shared" si="22"/>
        <v>109909.081652983</v>
      </c>
      <c r="U51" s="26">
        <f t="shared" si="22"/>
        <v>107220.28338336</v>
      </c>
      <c r="V51" s="26">
        <f t="shared" si="22"/>
        <v>104540.390817449</v>
      </c>
      <c r="W51" s="26">
        <f t="shared" si="22"/>
        <v>101868.340839837</v>
      </c>
      <c r="X51" s="26">
        <f t="shared" si="22"/>
        <v>99203.050837752</v>
      </c>
      <c r="Y51" s="26">
        <f t="shared" si="22"/>
        <v>96543.4173829499</v>
      </c>
      <c r="Z51" s="26">
        <f t="shared" si="22"/>
        <v>93888.3148586746</v>
      </c>
      <c r="AA51" s="26">
        <f t="shared" si="22"/>
        <v>91236.5940289875</v>
      </c>
      <c r="AB51" s="26">
        <f t="shared" si="22"/>
        <v>88587.0805476538</v>
      </c>
      <c r="AC51" s="26">
        <f t="shared" si="22"/>
        <v>85938.5734036364</v>
      </c>
      <c r="AD51" s="26">
        <f t="shared" si="22"/>
        <v>83362.9588913424</v>
      </c>
      <c r="AE51" s="26">
        <f t="shared" si="22"/>
        <v>80797.4830285551</v>
      </c>
      <c r="AF51" s="26">
        <f t="shared" si="22"/>
        <v>78241.5279677831</v>
      </c>
      <c r="AG51" s="26">
        <f t="shared" si="22"/>
        <v>75694.4784834142</v>
      </c>
      <c r="AH51" s="26">
        <f t="shared" si="22"/>
        <v>73155.7218075096</v>
      </c>
      <c r="AI51" s="26">
        <f t="shared" si="22"/>
        <v>70624.647465975</v>
      </c>
      <c r="AJ51" s="26">
        <f t="shared" si="22"/>
        <v>68100.6471150578</v>
      </c>
      <c r="AK51" s="26">
        <f t="shared" si="22"/>
        <v>65583.1143781219</v>
      </c>
      <c r="AL51" s="26">
        <f t="shared" si="22"/>
        <v>63071.444682649</v>
      </c>
      <c r="AM51" s="26">
        <f t="shared" si="22"/>
        <v>60565.0350974181</v>
      </c>
    </row>
    <row r="52" spans="1:39">
      <c r="A52" s="20" t="s">
        <v>195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>
      <c r="A53" s="6" t="s">
        <v>196</v>
      </c>
      <c r="B53" s="12" t="e">
        <f>绿电量×0.5306/1000</f>
        <v>#NAME?</v>
      </c>
      <c r="C53" s="26">
        <f t="shared" ref="C53:AM53" si="23">C33*0.5306/1000</f>
        <v>0</v>
      </c>
      <c r="D53" s="26">
        <f t="shared" si="23"/>
        <v>1173.9552737115</v>
      </c>
      <c r="E53" s="26">
        <f t="shared" si="23"/>
        <v>1698.2494393791</v>
      </c>
      <c r="F53" s="26">
        <f t="shared" si="23"/>
        <v>2456.73799278479</v>
      </c>
      <c r="G53" s="26">
        <f t="shared" si="23"/>
        <v>3554.0734820164</v>
      </c>
      <c r="H53" s="26">
        <f t="shared" si="23"/>
        <v>5141.70778251832</v>
      </c>
      <c r="I53" s="26">
        <f t="shared" si="23"/>
        <v>7438.8461875</v>
      </c>
      <c r="J53" s="26">
        <f t="shared" si="23"/>
        <v>8108.48590232417</v>
      </c>
      <c r="K53" s="26">
        <f t="shared" si="23"/>
        <v>8838.45400888673</v>
      </c>
      <c r="L53" s="26">
        <f t="shared" si="23"/>
        <v>9634.21241675207</v>
      </c>
      <c r="M53" s="26">
        <f t="shared" si="23"/>
        <v>10501.7241007867</v>
      </c>
      <c r="N53" s="26">
        <f t="shared" si="23"/>
        <v>11447.50042898</v>
      </c>
      <c r="O53" s="26">
        <f t="shared" si="23"/>
        <v>11765.3253521368</v>
      </c>
      <c r="P53" s="26">
        <f t="shared" si="23"/>
        <v>12093.1793228225</v>
      </c>
      <c r="Q53" s="26">
        <f t="shared" si="23"/>
        <v>12431.5003169386</v>
      </c>
      <c r="R53" s="26">
        <f t="shared" si="23"/>
        <v>12780.7588774595</v>
      </c>
      <c r="S53" s="26">
        <f t="shared" si="23"/>
        <v>13141.4618013317</v>
      </c>
      <c r="T53" s="26">
        <f t="shared" si="23"/>
        <v>13219.9637336488</v>
      </c>
      <c r="U53" s="26">
        <f t="shared" si="23"/>
        <v>13299.9459292282</v>
      </c>
      <c r="V53" s="26">
        <f t="shared" si="23"/>
        <v>13381.4659172237</v>
      </c>
      <c r="W53" s="26">
        <f t="shared" si="23"/>
        <v>13464.5840681725</v>
      </c>
      <c r="X53" s="26">
        <f t="shared" si="23"/>
        <v>13549.3637545666</v>
      </c>
      <c r="Y53" s="26">
        <f t="shared" si="23"/>
        <v>13635.8715213091</v>
      </c>
      <c r="Z53" s="26">
        <f t="shared" si="23"/>
        <v>13724.1772666918</v>
      </c>
      <c r="AA53" s="26">
        <f t="shared" si="23"/>
        <v>13814.354434576</v>
      </c>
      <c r="AB53" s="26">
        <f t="shared" si="23"/>
        <v>13906.4802185019</v>
      </c>
      <c r="AC53" s="26">
        <f t="shared" si="23"/>
        <v>14000.6357785</v>
      </c>
      <c r="AD53" s="26">
        <f t="shared" si="23"/>
        <v>13975.4384448963</v>
      </c>
      <c r="AE53" s="26">
        <f t="shared" si="23"/>
        <v>13951.4799667976</v>
      </c>
      <c r="AF53" s="26">
        <f t="shared" si="23"/>
        <v>13928.783404359</v>
      </c>
      <c r="AG53" s="26">
        <f t="shared" si="23"/>
        <v>13907.3724823401</v>
      </c>
      <c r="AH53" s="26">
        <f t="shared" si="23"/>
        <v>13887.2716081165</v>
      </c>
      <c r="AI53" s="26">
        <f t="shared" si="23"/>
        <v>13868.5058902004</v>
      </c>
      <c r="AJ53" s="26">
        <f t="shared" si="23"/>
        <v>13851.1011572855</v>
      </c>
      <c r="AK53" s="26">
        <f t="shared" si="23"/>
        <v>13835.0839778303</v>
      </c>
      <c r="AL53" s="26">
        <f t="shared" si="23"/>
        <v>13820.4816801958</v>
      </c>
      <c r="AM53" s="26">
        <f t="shared" si="23"/>
        <v>13807.322373355</v>
      </c>
    </row>
    <row r="54" spans="1:39">
      <c r="A54" s="6" t="s">
        <v>197</v>
      </c>
      <c r="B54" s="12" t="e">
        <f>氢冶金曲线-绿电降碳</f>
        <v>#NAME?</v>
      </c>
      <c r="C54" s="26">
        <f t="shared" ref="C54:AM54" si="24">C51-C53</f>
        <v>195992.549558073</v>
      </c>
      <c r="D54" s="26">
        <f t="shared" si="24"/>
        <v>188812.570185754</v>
      </c>
      <c r="E54" s="26">
        <f t="shared" si="24"/>
        <v>180566.08960487</v>
      </c>
      <c r="F54" s="26">
        <f t="shared" si="24"/>
        <v>172353.122681708</v>
      </c>
      <c r="G54" s="26">
        <f t="shared" si="24"/>
        <v>164055.924812112</v>
      </c>
      <c r="H54" s="26">
        <f t="shared" si="24"/>
        <v>155509.731105425</v>
      </c>
      <c r="I54" s="26">
        <f t="shared" si="24"/>
        <v>146481.716030682</v>
      </c>
      <c r="J54" s="26">
        <f t="shared" si="24"/>
        <v>140822.535414154</v>
      </c>
      <c r="K54" s="26">
        <f t="shared" si="24"/>
        <v>135162.867906165</v>
      </c>
      <c r="L54" s="26">
        <f t="shared" si="24"/>
        <v>129494.83860088</v>
      </c>
      <c r="M54" s="26">
        <f t="shared" si="24"/>
        <v>123809.952928271</v>
      </c>
      <c r="N54" s="26">
        <f t="shared" si="24"/>
        <v>118099.037678511</v>
      </c>
      <c r="O54" s="26">
        <f t="shared" si="24"/>
        <v>114324.574217711</v>
      </c>
      <c r="P54" s="26">
        <f t="shared" si="24"/>
        <v>110578.691689849</v>
      </c>
      <c r="Q54" s="26">
        <f t="shared" si="24"/>
        <v>106856.893350469</v>
      </c>
      <c r="R54" s="26">
        <f t="shared" si="24"/>
        <v>103154.449018447</v>
      </c>
      <c r="S54" s="26">
        <f t="shared" si="24"/>
        <v>99466.368708778</v>
      </c>
      <c r="T54" s="26">
        <f t="shared" si="24"/>
        <v>96689.1179193338</v>
      </c>
      <c r="U54" s="26">
        <f t="shared" si="24"/>
        <v>93920.3374541322</v>
      </c>
      <c r="V54" s="26">
        <f t="shared" si="24"/>
        <v>91158.9249002251</v>
      </c>
      <c r="W54" s="26">
        <f t="shared" si="24"/>
        <v>88403.7567716647</v>
      </c>
      <c r="X54" s="26">
        <f t="shared" si="24"/>
        <v>85653.6870831854</v>
      </c>
      <c r="Y54" s="26">
        <f t="shared" si="24"/>
        <v>82907.5458616408</v>
      </c>
      <c r="Z54" s="26">
        <f t="shared" si="24"/>
        <v>80164.1375919828</v>
      </c>
      <c r="AA54" s="26">
        <f t="shared" si="24"/>
        <v>77422.2395944115</v>
      </c>
      <c r="AB54" s="26">
        <f t="shared" si="24"/>
        <v>74680.6003291519</v>
      </c>
      <c r="AC54" s="26">
        <f t="shared" si="24"/>
        <v>71937.9376251364</v>
      </c>
      <c r="AD54" s="26">
        <f t="shared" si="24"/>
        <v>69387.5204464461</v>
      </c>
      <c r="AE54" s="26">
        <f t="shared" si="24"/>
        <v>66846.0030617575</v>
      </c>
      <c r="AF54" s="26">
        <f t="shared" si="24"/>
        <v>64312.7445634241</v>
      </c>
      <c r="AG54" s="26">
        <f t="shared" si="24"/>
        <v>61787.1060010741</v>
      </c>
      <c r="AH54" s="26">
        <f t="shared" si="24"/>
        <v>59268.4501993931</v>
      </c>
      <c r="AI54" s="26">
        <f t="shared" si="24"/>
        <v>56756.1415757746</v>
      </c>
      <c r="AJ54" s="26">
        <f t="shared" si="24"/>
        <v>54249.5459577723</v>
      </c>
      <c r="AK54" s="26">
        <f t="shared" si="24"/>
        <v>51748.0304002917</v>
      </c>
      <c r="AL54" s="26">
        <f t="shared" si="24"/>
        <v>49250.9630024532</v>
      </c>
      <c r="AM54" s="26">
        <f t="shared" si="24"/>
        <v>46757.7127240631</v>
      </c>
    </row>
    <row r="55" spans="1:39">
      <c r="A55" s="20" t="s">
        <v>198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>
      <c r="A56" s="6" t="s">
        <v>199</v>
      </c>
      <c r="B56" s="12" t="e">
        <f>产量×累计技术潜力</f>
        <v>#NAME?</v>
      </c>
      <c r="C56" s="26">
        <f t="shared" ref="C56:AM56" si="25">C13*C37</f>
        <v>0</v>
      </c>
      <c r="D56" s="26">
        <f t="shared" si="25"/>
        <v>5764.86</v>
      </c>
      <c r="E56" s="26">
        <f t="shared" si="25"/>
        <v>6328.45315353294</v>
      </c>
      <c r="F56" s="26">
        <f t="shared" si="25"/>
        <v>6175.24015292052</v>
      </c>
      <c r="G56" s="26">
        <f t="shared" si="25"/>
        <v>8614.5713934042</v>
      </c>
      <c r="H56" s="26">
        <f t="shared" si="25"/>
        <v>10409.5162803684</v>
      </c>
      <c r="I56" s="26">
        <f t="shared" si="25"/>
        <v>10157.5</v>
      </c>
      <c r="J56" s="26">
        <f t="shared" si="25"/>
        <v>10457.1577868835</v>
      </c>
      <c r="K56" s="26">
        <f t="shared" si="25"/>
        <v>15587.5002293626</v>
      </c>
      <c r="L56" s="26">
        <f t="shared" si="25"/>
        <v>15618.1459066291</v>
      </c>
      <c r="M56" s="26">
        <f t="shared" si="25"/>
        <v>15729.1859239336</v>
      </c>
      <c r="N56" s="26">
        <f t="shared" si="25"/>
        <v>18604.1538</v>
      </c>
      <c r="O56" s="26">
        <f t="shared" si="25"/>
        <v>20089.0891031489</v>
      </c>
      <c r="P56" s="26">
        <f t="shared" si="25"/>
        <v>20175.5224951799</v>
      </c>
      <c r="Q56" s="26">
        <f t="shared" si="25"/>
        <v>19715.9629969474</v>
      </c>
      <c r="R56" s="26">
        <f t="shared" si="25"/>
        <v>19266.8713779219</v>
      </c>
      <c r="S56" s="26">
        <f t="shared" si="25"/>
        <v>18828.0092</v>
      </c>
      <c r="T56" s="26">
        <f t="shared" si="25"/>
        <v>18532.0513699391</v>
      </c>
      <c r="U56" s="26">
        <f t="shared" si="25"/>
        <v>18240.7457065649</v>
      </c>
      <c r="V56" s="26">
        <f t="shared" si="25"/>
        <v>18853.1032429015</v>
      </c>
      <c r="W56" s="26">
        <f t="shared" si="25"/>
        <v>18556.7509591092</v>
      </c>
      <c r="X56" s="26">
        <f t="shared" si="25"/>
        <v>18265.0570424291</v>
      </c>
      <c r="Y56" s="26">
        <f t="shared" si="25"/>
        <v>17977.948267901</v>
      </c>
      <c r="Z56" s="26">
        <f t="shared" si="25"/>
        <v>24576.1572994049</v>
      </c>
      <c r="AA56" s="26">
        <f t="shared" si="25"/>
        <v>24189.8442214632</v>
      </c>
      <c r="AB56" s="26">
        <f t="shared" si="25"/>
        <v>23809.6036060457</v>
      </c>
      <c r="AC56" s="26">
        <f t="shared" si="25"/>
        <v>23435.34</v>
      </c>
      <c r="AD56" s="26">
        <f t="shared" si="25"/>
        <v>23062.4530804368</v>
      </c>
      <c r="AE56" s="26">
        <f t="shared" si="25"/>
        <v>22695.4992796072</v>
      </c>
      <c r="AF56" s="26">
        <f t="shared" si="25"/>
        <v>22334.3841938299</v>
      </c>
      <c r="AG56" s="26">
        <f t="shared" si="25"/>
        <v>21979.0149215097</v>
      </c>
      <c r="AH56" s="26">
        <f t="shared" si="25"/>
        <v>21629.3000392372</v>
      </c>
      <c r="AI56" s="26">
        <f t="shared" si="25"/>
        <v>21285.1495782694</v>
      </c>
      <c r="AJ56" s="26">
        <f t="shared" si="25"/>
        <v>20946.4750013833</v>
      </c>
      <c r="AK56" s="26">
        <f t="shared" si="25"/>
        <v>20613.1891800992</v>
      </c>
      <c r="AL56" s="26">
        <f t="shared" si="25"/>
        <v>20285.2063722654</v>
      </c>
      <c r="AM56" s="26">
        <f t="shared" si="25"/>
        <v>19962.4422</v>
      </c>
    </row>
    <row r="57" spans="1:39">
      <c r="A57" s="6" t="s">
        <v>200</v>
      </c>
      <c r="B57" s="12" t="e">
        <f>能源曲线-技术降碳</f>
        <v>#NAME?</v>
      </c>
      <c r="C57" s="26">
        <f t="shared" ref="C57:AM57" si="26">C54-C56</f>
        <v>195992.549558073</v>
      </c>
      <c r="D57" s="26">
        <f t="shared" si="26"/>
        <v>183047.710185754</v>
      </c>
      <c r="E57" s="26">
        <f t="shared" si="26"/>
        <v>174237.636451337</v>
      </c>
      <c r="F57" s="26">
        <f t="shared" si="26"/>
        <v>166177.882528787</v>
      </c>
      <c r="G57" s="26">
        <f t="shared" si="26"/>
        <v>155441.353418708</v>
      </c>
      <c r="H57" s="26">
        <f t="shared" si="26"/>
        <v>145100.214825056</v>
      </c>
      <c r="I57" s="26">
        <f t="shared" si="26"/>
        <v>136324.216030682</v>
      </c>
      <c r="J57" s="26">
        <f t="shared" si="26"/>
        <v>130365.37762727</v>
      </c>
      <c r="K57" s="26">
        <f t="shared" si="26"/>
        <v>119575.367676802</v>
      </c>
      <c r="L57" s="26">
        <f t="shared" si="26"/>
        <v>113876.692694251</v>
      </c>
      <c r="M57" s="26">
        <f t="shared" si="26"/>
        <v>108080.767004337</v>
      </c>
      <c r="N57" s="26">
        <f t="shared" si="26"/>
        <v>99494.8838785109</v>
      </c>
      <c r="O57" s="26">
        <f t="shared" si="26"/>
        <v>94235.4851145624</v>
      </c>
      <c r="P57" s="26">
        <f t="shared" si="26"/>
        <v>90403.1691946694</v>
      </c>
      <c r="Q57" s="26">
        <f t="shared" si="26"/>
        <v>87140.930353522</v>
      </c>
      <c r="R57" s="26">
        <f t="shared" si="26"/>
        <v>83887.5776405247</v>
      </c>
      <c r="S57" s="26">
        <f t="shared" si="26"/>
        <v>80638.359508778</v>
      </c>
      <c r="T57" s="26">
        <f t="shared" si="26"/>
        <v>78157.0665493947</v>
      </c>
      <c r="U57" s="26">
        <f t="shared" si="26"/>
        <v>75679.5917475673</v>
      </c>
      <c r="V57" s="26">
        <f t="shared" si="26"/>
        <v>72305.8216573236</v>
      </c>
      <c r="W57" s="26">
        <f t="shared" si="26"/>
        <v>69847.0058125555</v>
      </c>
      <c r="X57" s="26">
        <f t="shared" si="26"/>
        <v>67388.6300407563</v>
      </c>
      <c r="Y57" s="26">
        <f t="shared" si="26"/>
        <v>64929.5975937397</v>
      </c>
      <c r="Z57" s="26">
        <f t="shared" si="26"/>
        <v>55587.9802925779</v>
      </c>
      <c r="AA57" s="26">
        <f t="shared" si="26"/>
        <v>53232.3953729482</v>
      </c>
      <c r="AB57" s="26">
        <f t="shared" si="26"/>
        <v>50870.9967231062</v>
      </c>
      <c r="AC57" s="26">
        <f t="shared" si="26"/>
        <v>48502.5976251364</v>
      </c>
      <c r="AD57" s="26">
        <f t="shared" si="26"/>
        <v>46325.0673660093</v>
      </c>
      <c r="AE57" s="26">
        <f t="shared" si="26"/>
        <v>44150.5037821503</v>
      </c>
      <c r="AF57" s="26">
        <f t="shared" si="26"/>
        <v>41978.3603695942</v>
      </c>
      <c r="AG57" s="26">
        <f t="shared" si="26"/>
        <v>39808.0910795644</v>
      </c>
      <c r="AH57" s="26">
        <f t="shared" si="26"/>
        <v>37639.1501601559</v>
      </c>
      <c r="AI57" s="26">
        <f t="shared" si="26"/>
        <v>35470.9919975052</v>
      </c>
      <c r="AJ57" s="26">
        <f t="shared" si="26"/>
        <v>33303.070956389</v>
      </c>
      <c r="AK57" s="26">
        <f t="shared" si="26"/>
        <v>31134.8412201925</v>
      </c>
      <c r="AL57" s="26">
        <f t="shared" si="26"/>
        <v>28965.7566301878</v>
      </c>
      <c r="AM57" s="26">
        <f t="shared" si="26"/>
        <v>26795.2705240631</v>
      </c>
    </row>
    <row r="58" spans="1:39">
      <c r="A58" s="20" t="s">
        <v>201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>
      <c r="A59" s="6" t="s">
        <v>202</v>
      </c>
      <c r="B59" s="12" t="s">
        <v>203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0.00733545386047331</v>
      </c>
      <c r="J59" s="29">
        <v>0.0140208836421778</v>
      </c>
      <c r="K59" s="29">
        <v>0.0204168246285776</v>
      </c>
      <c r="L59" s="29">
        <v>0.0262882538595236</v>
      </c>
      <c r="M59" s="29">
        <v>0.0324714101235813</v>
      </c>
      <c r="N59" s="29">
        <v>0.0402030720204408</v>
      </c>
      <c r="O59" s="29">
        <v>0.0832530751786339</v>
      </c>
      <c r="P59" s="29">
        <v>0.106522662158748</v>
      </c>
      <c r="Q59" s="29">
        <v>0.126651316226122</v>
      </c>
      <c r="R59" s="29">
        <v>0.145942732953657</v>
      </c>
      <c r="S59" s="29">
        <v>0.165170868555167</v>
      </c>
      <c r="T59" s="29">
        <v>0.182991243605983</v>
      </c>
      <c r="U59" s="29">
        <v>0.201026351524912</v>
      </c>
      <c r="V59" s="29">
        <v>0.222224702648116</v>
      </c>
      <c r="W59" s="29">
        <v>0.241610927266808</v>
      </c>
      <c r="X59" s="29">
        <v>0.261824176051719</v>
      </c>
      <c r="Y59" s="29">
        <v>0.283049280972868</v>
      </c>
      <c r="Z59" s="29">
        <v>0.343295381495439</v>
      </c>
      <c r="AA59" s="29">
        <v>0.371238983444066</v>
      </c>
      <c r="AB59" s="29">
        <v>0.401361507115345</v>
      </c>
      <c r="AC59" s="29">
        <v>0.434051321627728</v>
      </c>
      <c r="AD59" s="29">
        <v>0.467755189711241</v>
      </c>
      <c r="AE59" s="29">
        <v>0.504362598668896</v>
      </c>
      <c r="AF59" s="29">
        <v>0.544358428626116</v>
      </c>
      <c r="AG59" s="29">
        <v>0.588329449103075</v>
      </c>
      <c r="AH59" s="29">
        <v>0.636994852732815</v>
      </c>
      <c r="AI59" s="29">
        <v>0.691247886597002</v>
      </c>
      <c r="AJ59" s="29">
        <v>0.752213751691523</v>
      </c>
      <c r="AK59" s="29">
        <v>0.821331836383034</v>
      </c>
      <c r="AL59" s="29">
        <v>0.900475225993416</v>
      </c>
      <c r="AM59" s="29">
        <v>0.992128909602456</v>
      </c>
    </row>
    <row r="60" spans="1:39">
      <c r="A60" s="9" t="s">
        <v>204</v>
      </c>
      <c r="B60" s="12" t="e">
        <f>工艺曲线×CCUS比例</f>
        <v>#NAME?</v>
      </c>
      <c r="C60" s="34">
        <f t="shared" ref="C60:AM60" si="27">C57*C59</f>
        <v>0</v>
      </c>
      <c r="D60" s="34">
        <f t="shared" si="27"/>
        <v>0</v>
      </c>
      <c r="E60" s="34">
        <f t="shared" si="27"/>
        <v>0</v>
      </c>
      <c r="F60" s="34">
        <f t="shared" si="27"/>
        <v>0</v>
      </c>
      <c r="G60" s="34">
        <f t="shared" si="27"/>
        <v>0</v>
      </c>
      <c r="H60" s="34">
        <f t="shared" si="27"/>
        <v>0</v>
      </c>
      <c r="I60" s="34">
        <f t="shared" si="27"/>
        <v>999.999996758263</v>
      </c>
      <c r="J60" s="34">
        <f t="shared" si="27"/>
        <v>1827.83779068052</v>
      </c>
      <c r="K60" s="34">
        <f t="shared" si="27"/>
        <v>2441.34931175497</v>
      </c>
      <c r="L60" s="34">
        <f t="shared" si="27"/>
        <v>2993.61940622943</v>
      </c>
      <c r="M60" s="34">
        <f t="shared" si="27"/>
        <v>3509.53491186906</v>
      </c>
      <c r="N60" s="34">
        <f t="shared" si="27"/>
        <v>3999.99998223316</v>
      </c>
      <c r="O60" s="34">
        <f t="shared" si="27"/>
        <v>7845.3939267377</v>
      </c>
      <c r="P60" s="34">
        <f t="shared" si="27"/>
        <v>9629.98625020393</v>
      </c>
      <c r="Q60" s="34">
        <f t="shared" si="27"/>
        <v>11036.5135264424</v>
      </c>
      <c r="R60" s="34">
        <f t="shared" si="27"/>
        <v>12242.7823417203</v>
      </c>
      <c r="S60" s="34">
        <f t="shared" si="27"/>
        <v>13319.1078789286</v>
      </c>
      <c r="T60" s="34">
        <f t="shared" si="27"/>
        <v>14302.0588044693</v>
      </c>
      <c r="U60" s="34">
        <f t="shared" si="27"/>
        <v>15213.5922139083</v>
      </c>
      <c r="V60" s="34">
        <f t="shared" si="27"/>
        <v>16068.1397175265</v>
      </c>
      <c r="W60" s="34">
        <f t="shared" si="27"/>
        <v>16875.7998411817</v>
      </c>
      <c r="X60" s="34">
        <f t="shared" si="27"/>
        <v>17643.9725356751</v>
      </c>
      <c r="Y60" s="34">
        <f t="shared" si="27"/>
        <v>18378.2759127657</v>
      </c>
      <c r="Z60" s="34">
        <f t="shared" si="27"/>
        <v>19083.0969011015</v>
      </c>
      <c r="AA60" s="34">
        <f t="shared" si="27"/>
        <v>19761.9403445459</v>
      </c>
      <c r="AB60" s="34">
        <f t="shared" si="27"/>
        <v>20417.6599132457</v>
      </c>
      <c r="AC60" s="34">
        <f t="shared" si="27"/>
        <v>21052.6166015684</v>
      </c>
      <c r="AD60" s="34">
        <f t="shared" si="27"/>
        <v>21668.7906741737</v>
      </c>
      <c r="AE60" s="34">
        <f t="shared" si="27"/>
        <v>22267.8628201062</v>
      </c>
      <c r="AF60" s="34">
        <f t="shared" si="27"/>
        <v>22851.2742870931</v>
      </c>
      <c r="AG60" s="34">
        <f t="shared" si="27"/>
        <v>23420.2722946852</v>
      </c>
      <c r="AH60" s="34">
        <f t="shared" si="27"/>
        <v>23975.9449132568</v>
      </c>
      <c r="AI60" s="34">
        <f t="shared" si="27"/>
        <v>24519.2482537746</v>
      </c>
      <c r="AJ60" s="34">
        <f t="shared" si="27"/>
        <v>25051.0279469544</v>
      </c>
      <c r="AK60" s="34">
        <f t="shared" si="27"/>
        <v>25572.0363148749</v>
      </c>
      <c r="AL60" s="34">
        <f t="shared" si="27"/>
        <v>26082.9462476387</v>
      </c>
      <c r="AM60" s="34">
        <f t="shared" si="27"/>
        <v>26584.3625275416</v>
      </c>
    </row>
    <row r="61" spans="1:39">
      <c r="A61" s="20" t="s">
        <v>205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>
      <c r="A62" s="9" t="s">
        <v>52</v>
      </c>
      <c r="B62" s="12" t="e">
        <f>工艺曲线-CCUS</f>
        <v>#NAME?</v>
      </c>
      <c r="C62" s="34">
        <f t="shared" ref="C62:AM62" si="28">C57-C60</f>
        <v>195992.549558073</v>
      </c>
      <c r="D62" s="34">
        <f t="shared" si="28"/>
        <v>183047.710185754</v>
      </c>
      <c r="E62" s="34">
        <f t="shared" si="28"/>
        <v>174237.636451337</v>
      </c>
      <c r="F62" s="34">
        <f t="shared" si="28"/>
        <v>166177.882528787</v>
      </c>
      <c r="G62" s="34">
        <f t="shared" si="28"/>
        <v>155441.353418708</v>
      </c>
      <c r="H62" s="34">
        <f t="shared" si="28"/>
        <v>145100.214825056</v>
      </c>
      <c r="I62" s="34">
        <f t="shared" si="28"/>
        <v>135324.216033924</v>
      </c>
      <c r="J62" s="34">
        <f t="shared" si="28"/>
        <v>128537.53983659</v>
      </c>
      <c r="K62" s="34">
        <f t="shared" si="28"/>
        <v>117134.018365047</v>
      </c>
      <c r="L62" s="34">
        <f t="shared" si="28"/>
        <v>110883.073288022</v>
      </c>
      <c r="M62" s="34">
        <f t="shared" si="28"/>
        <v>104571.232092468</v>
      </c>
      <c r="N62" s="34">
        <f t="shared" si="28"/>
        <v>95494.8838962777</v>
      </c>
      <c r="O62" s="34">
        <f t="shared" si="28"/>
        <v>86390.0911878247</v>
      </c>
      <c r="P62" s="34">
        <f t="shared" si="28"/>
        <v>80773.1829444654</v>
      </c>
      <c r="Q62" s="34">
        <f t="shared" si="28"/>
        <v>76104.4168270796</v>
      </c>
      <c r="R62" s="34">
        <f t="shared" si="28"/>
        <v>71644.7952988044</v>
      </c>
      <c r="S62" s="34">
        <f t="shared" si="28"/>
        <v>67319.2516298494</v>
      </c>
      <c r="T62" s="34">
        <f t="shared" si="28"/>
        <v>63855.0077449254</v>
      </c>
      <c r="U62" s="34">
        <f t="shared" si="28"/>
        <v>60465.9995336591</v>
      </c>
      <c r="V62" s="34">
        <f t="shared" si="28"/>
        <v>56237.6819397971</v>
      </c>
      <c r="W62" s="34">
        <f t="shared" si="28"/>
        <v>52971.2059713738</v>
      </c>
      <c r="X62" s="34">
        <f t="shared" si="28"/>
        <v>49744.6575050812</v>
      </c>
      <c r="Y62" s="34">
        <f t="shared" si="28"/>
        <v>46551.321680974</v>
      </c>
      <c r="Z62" s="34">
        <f t="shared" si="28"/>
        <v>36504.8833914764</v>
      </c>
      <c r="AA62" s="34">
        <f t="shared" si="28"/>
        <v>33470.4550284023</v>
      </c>
      <c r="AB62" s="34">
        <f t="shared" si="28"/>
        <v>30453.3368098605</v>
      </c>
      <c r="AC62" s="34">
        <f t="shared" si="28"/>
        <v>27449.981023568</v>
      </c>
      <c r="AD62" s="34">
        <f t="shared" si="28"/>
        <v>24656.2766918356</v>
      </c>
      <c r="AE62" s="34">
        <f t="shared" si="28"/>
        <v>21882.6409620441</v>
      </c>
      <c r="AF62" s="34">
        <f t="shared" si="28"/>
        <v>19127.0860825011</v>
      </c>
      <c r="AG62" s="34">
        <f t="shared" si="28"/>
        <v>16387.8187848793</v>
      </c>
      <c r="AH62" s="34">
        <f t="shared" si="28"/>
        <v>13663.2052468991</v>
      </c>
      <c r="AI62" s="34">
        <f t="shared" si="28"/>
        <v>10951.7437437306</v>
      </c>
      <c r="AJ62" s="34">
        <f t="shared" si="28"/>
        <v>8252.04300943464</v>
      </c>
      <c r="AK62" s="34">
        <f t="shared" si="28"/>
        <v>5562.80490531762</v>
      </c>
      <c r="AL62" s="34">
        <f t="shared" si="28"/>
        <v>2882.81038254915</v>
      </c>
      <c r="AM62" s="34">
        <f t="shared" si="28"/>
        <v>210.90799652155</v>
      </c>
    </row>
    <row r="63" spans="1:39">
      <c r="A63" s="9" t="s">
        <v>56</v>
      </c>
      <c r="B63" s="12" t="e">
        <f>碳排放总量/粗钢产量</f>
        <v>#NAME?</v>
      </c>
      <c r="C63" s="35">
        <f t="shared" ref="C63:AM63" si="29">IF(C13&gt;0,C62/C13,0)</f>
        <v>1.94999999560311</v>
      </c>
      <c r="D63" s="35">
        <f t="shared" si="29"/>
        <v>1.90513951963191</v>
      </c>
      <c r="E63" s="35">
        <f t="shared" si="29"/>
        <v>1.85843841696126</v>
      </c>
      <c r="F63" s="35">
        <f t="shared" si="29"/>
        <v>1.816448719875</v>
      </c>
      <c r="G63" s="35">
        <f t="shared" si="29"/>
        <v>1.74124630464961</v>
      </c>
      <c r="H63" s="35">
        <f t="shared" si="29"/>
        <v>1.66573308543599</v>
      </c>
      <c r="I63" s="35">
        <f t="shared" si="29"/>
        <v>1.5920496003991</v>
      </c>
      <c r="J63" s="35">
        <f t="shared" si="29"/>
        <v>1.52541532018661</v>
      </c>
      <c r="K63" s="35">
        <f t="shared" si="29"/>
        <v>1.40222662423734</v>
      </c>
      <c r="L63" s="35">
        <f t="shared" si="29"/>
        <v>1.33899041199536</v>
      </c>
      <c r="M63" s="35">
        <f t="shared" si="29"/>
        <v>1.27380070181701</v>
      </c>
      <c r="N63" s="35">
        <f t="shared" si="29"/>
        <v>1.17340088097364</v>
      </c>
      <c r="O63" s="35">
        <f t="shared" si="29"/>
        <v>1.08626811907684</v>
      </c>
      <c r="P63" s="35">
        <f t="shared" si="29"/>
        <v>1.03931475863353</v>
      </c>
      <c r="Q63" s="35">
        <f t="shared" si="29"/>
        <v>1.0020665291048</v>
      </c>
      <c r="R63" s="35">
        <f t="shared" si="29"/>
        <v>0.96533518570547</v>
      </c>
      <c r="S63" s="35">
        <f t="shared" si="29"/>
        <v>0.928195728898884</v>
      </c>
      <c r="T63" s="35">
        <f t="shared" si="29"/>
        <v>0.894491369556195</v>
      </c>
      <c r="U63" s="35">
        <f t="shared" si="29"/>
        <v>0.860544504673871</v>
      </c>
      <c r="V63" s="35">
        <f t="shared" si="29"/>
        <v>0.813149532958763</v>
      </c>
      <c r="W63" s="35">
        <f t="shared" si="29"/>
        <v>0.778150807736532</v>
      </c>
      <c r="X63" s="35">
        <f t="shared" si="29"/>
        <v>0.742422736725367</v>
      </c>
      <c r="Y63" s="35">
        <f t="shared" si="29"/>
        <v>0.705858649782126</v>
      </c>
      <c r="Z63" s="35">
        <f t="shared" si="29"/>
        <v>0.562364111021849</v>
      </c>
      <c r="AA63" s="35">
        <f t="shared" si="29"/>
        <v>0.523852661378842</v>
      </c>
      <c r="AB63" s="35">
        <f t="shared" si="29"/>
        <v>0.484242976362931</v>
      </c>
      <c r="AC63" s="35">
        <f t="shared" si="29"/>
        <v>0.443456882448595</v>
      </c>
      <c r="AD63" s="35">
        <f t="shared" si="29"/>
        <v>0.404764676288813</v>
      </c>
      <c r="AE63" s="35">
        <f t="shared" si="29"/>
        <v>0.365040123866059</v>
      </c>
      <c r="AF63" s="35">
        <f t="shared" si="29"/>
        <v>0.324231674712368</v>
      </c>
      <c r="AG63" s="35">
        <f t="shared" si="29"/>
        <v>0.282288729231598</v>
      </c>
      <c r="AH63" s="35">
        <f t="shared" si="29"/>
        <v>0.239161207116826</v>
      </c>
      <c r="AI63" s="35">
        <f t="shared" si="29"/>
        <v>0.194799203366158</v>
      </c>
      <c r="AJ63" s="35">
        <f t="shared" si="29"/>
        <v>0.14915270866175</v>
      </c>
      <c r="AK63" s="35">
        <f t="shared" si="29"/>
        <v>0.102171377691839</v>
      </c>
      <c r="AL63" s="35">
        <f t="shared" si="29"/>
        <v>0.0538043336017204</v>
      </c>
      <c r="AM63" s="35">
        <f t="shared" si="29"/>
        <v>0.00399999993402905</v>
      </c>
    </row>
    <row r="64" spans="1:39">
      <c r="A64" s="6" t="s">
        <v>206</v>
      </c>
      <c r="B64" s="12" t="e">
        <f>(当年-1.95)/1.95</f>
        <v>#NAME?</v>
      </c>
      <c r="C64" s="25">
        <f t="shared" ref="C64:AM64" si="30">(C63-1.95)/1.95</f>
        <v>-2.25481661831923e-9</v>
      </c>
      <c r="D64" s="25">
        <f t="shared" si="30"/>
        <v>-0.0230053745477362</v>
      </c>
      <c r="E64" s="25">
        <f t="shared" si="30"/>
        <v>-0.0469546579685845</v>
      </c>
      <c r="F64" s="25">
        <f t="shared" si="30"/>
        <v>-0.0684878359615397</v>
      </c>
      <c r="G64" s="25">
        <f t="shared" si="30"/>
        <v>-0.107053177102763</v>
      </c>
      <c r="H64" s="25">
        <f t="shared" si="30"/>
        <v>-0.145777904904623</v>
      </c>
      <c r="I64" s="25">
        <f t="shared" si="30"/>
        <v>-0.183564307487641</v>
      </c>
      <c r="J64" s="25">
        <f t="shared" si="30"/>
        <v>-0.217735733237634</v>
      </c>
      <c r="K64" s="25">
        <f t="shared" si="30"/>
        <v>-0.280909423468033</v>
      </c>
      <c r="L64" s="25">
        <f t="shared" si="30"/>
        <v>-0.313338250258792</v>
      </c>
      <c r="M64" s="25">
        <f t="shared" si="30"/>
        <v>-0.346768870863072</v>
      </c>
      <c r="N64" s="25">
        <f t="shared" si="30"/>
        <v>-0.398255958475057</v>
      </c>
      <c r="O64" s="25">
        <f t="shared" si="30"/>
        <v>-0.442939426114442</v>
      </c>
      <c r="P64" s="25">
        <f t="shared" si="30"/>
        <v>-0.467018072495625</v>
      </c>
      <c r="Q64" s="25">
        <f t="shared" si="30"/>
        <v>-0.486119728664203</v>
      </c>
      <c r="R64" s="25">
        <f t="shared" si="30"/>
        <v>-0.504956315022836</v>
      </c>
      <c r="S64" s="25">
        <f t="shared" si="30"/>
        <v>-0.524002190308264</v>
      </c>
      <c r="T64" s="25">
        <f t="shared" si="30"/>
        <v>-0.541286477150669</v>
      </c>
      <c r="U64" s="25">
        <f t="shared" si="30"/>
        <v>-0.558695125808271</v>
      </c>
      <c r="V64" s="25">
        <f t="shared" si="30"/>
        <v>-0.583000239508327</v>
      </c>
      <c r="W64" s="25">
        <f t="shared" si="30"/>
        <v>-0.600948303724855</v>
      </c>
      <c r="X64" s="25">
        <f t="shared" si="30"/>
        <v>-0.619270391422889</v>
      </c>
      <c r="Y64" s="25">
        <f t="shared" si="30"/>
        <v>-0.638021205239936</v>
      </c>
      <c r="Z64" s="25">
        <f t="shared" si="30"/>
        <v>-0.711608148193924</v>
      </c>
      <c r="AA64" s="25">
        <f t="shared" si="30"/>
        <v>-0.731357609549312</v>
      </c>
      <c r="AB64" s="25">
        <f t="shared" si="30"/>
        <v>-0.75167026853183</v>
      </c>
      <c r="AC64" s="25">
        <f t="shared" si="30"/>
        <v>-0.772586214128926</v>
      </c>
      <c r="AD64" s="25">
        <f t="shared" si="30"/>
        <v>-0.792428371133942</v>
      </c>
      <c r="AE64" s="25">
        <f t="shared" si="30"/>
        <v>-0.812799936478944</v>
      </c>
      <c r="AF64" s="25">
        <f t="shared" si="30"/>
        <v>-0.83372734630135</v>
      </c>
      <c r="AG64" s="25">
        <f t="shared" si="30"/>
        <v>-0.855236549112001</v>
      </c>
      <c r="AH64" s="25">
        <f t="shared" si="30"/>
        <v>-0.877353227119577</v>
      </c>
      <c r="AI64" s="25">
        <f t="shared" si="30"/>
        <v>-0.90010297263274</v>
      </c>
      <c r="AJ64" s="25">
        <f t="shared" si="30"/>
        <v>-0.923511431455513</v>
      </c>
      <c r="AK64" s="25">
        <f t="shared" si="30"/>
        <v>-0.947604421696493</v>
      </c>
      <c r="AL64" s="25">
        <f t="shared" si="30"/>
        <v>-0.9724080340504</v>
      </c>
      <c r="AM64" s="25">
        <f t="shared" si="30"/>
        <v>-0.997948717982549</v>
      </c>
    </row>
    <row r="65" spans="1:39">
      <c r="A65" s="6" t="s">
        <v>207</v>
      </c>
      <c r="B65" s="12" t="e">
        <f>碳排放/(全国排放×10000)</f>
        <v>#NAME?</v>
      </c>
      <c r="C65" s="25">
        <f t="shared" ref="C65:AM65" si="31">C62/(C9*10000)</f>
        <v>0.184030562965326</v>
      </c>
      <c r="D65" s="25">
        <f t="shared" si="31"/>
        <v>0.169488620542365</v>
      </c>
      <c r="E65" s="25">
        <f t="shared" si="31"/>
        <v>0.158397851319397</v>
      </c>
      <c r="F65" s="25">
        <f t="shared" si="31"/>
        <v>0.148373109400703</v>
      </c>
      <c r="G65" s="25">
        <f t="shared" si="31"/>
        <v>0.135166394277137</v>
      </c>
      <c r="H65" s="25">
        <f t="shared" si="31"/>
        <v>0.124017277628253</v>
      </c>
      <c r="I65" s="25">
        <f t="shared" si="31"/>
        <v>0.1146815390118</v>
      </c>
      <c r="J65" s="25">
        <f t="shared" si="31"/>
        <v>0.109861145159478</v>
      </c>
      <c r="K65" s="25">
        <f t="shared" si="31"/>
        <v>0.101414734515193</v>
      </c>
      <c r="L65" s="25">
        <f t="shared" si="31"/>
        <v>0.0976943376986975</v>
      </c>
      <c r="M65" s="25">
        <f t="shared" si="31"/>
        <v>0.0942083172004215</v>
      </c>
      <c r="N65" s="25">
        <f t="shared" si="31"/>
        <v>0.0876099852259429</v>
      </c>
      <c r="O65" s="25">
        <f t="shared" si="31"/>
        <v>0.0811174565143894</v>
      </c>
      <c r="P65" s="25">
        <f t="shared" si="31"/>
        <v>0.0780417226516574</v>
      </c>
      <c r="Q65" s="25">
        <f t="shared" si="31"/>
        <v>0.0761044168270796</v>
      </c>
      <c r="R65" s="25">
        <f t="shared" si="31"/>
        <v>0.0746299951029212</v>
      </c>
      <c r="S65" s="25">
        <f t="shared" si="31"/>
        <v>0.0731730995976624</v>
      </c>
      <c r="T65" s="25">
        <f t="shared" si="31"/>
        <v>0.0729771517084861</v>
      </c>
      <c r="U65" s="25">
        <f t="shared" si="31"/>
        <v>0.072850601847782</v>
      </c>
      <c r="V65" s="25">
        <f t="shared" si="31"/>
        <v>0.0716403591589773</v>
      </c>
      <c r="W65" s="25">
        <f t="shared" si="31"/>
        <v>0.0715827107721268</v>
      </c>
      <c r="X65" s="25">
        <f t="shared" si="31"/>
        <v>0.071575046769901</v>
      </c>
      <c r="Y65" s="25">
        <f t="shared" si="31"/>
        <v>0.0716174179707293</v>
      </c>
      <c r="Z65" s="25">
        <f t="shared" si="31"/>
        <v>0.0603386502338453</v>
      </c>
      <c r="AA65" s="25">
        <f t="shared" si="31"/>
        <v>0.0597686696935756</v>
      </c>
      <c r="AB65" s="25">
        <f t="shared" si="31"/>
        <v>0.0591326928346805</v>
      </c>
      <c r="AC65" s="25">
        <f t="shared" si="31"/>
        <v>0.0584042149437617</v>
      </c>
      <c r="AD65" s="25">
        <f t="shared" si="31"/>
        <v>0.057340178353106</v>
      </c>
      <c r="AE65" s="25">
        <f t="shared" si="31"/>
        <v>0.056109335800113</v>
      </c>
      <c r="AF65" s="25">
        <f t="shared" si="31"/>
        <v>0.0538791157253552</v>
      </c>
      <c r="AG65" s="25">
        <f t="shared" si="31"/>
        <v>0.0512119337027477</v>
      </c>
      <c r="AH65" s="25">
        <f t="shared" si="31"/>
        <v>0.0471145008513761</v>
      </c>
      <c r="AI65" s="25">
        <f t="shared" si="31"/>
        <v>0.0413273348820021</v>
      </c>
      <c r="AJ65" s="25">
        <f t="shared" si="31"/>
        <v>0.0336818082017741</v>
      </c>
      <c r="AK65" s="25">
        <f t="shared" si="31"/>
        <v>0.0241861082839896</v>
      </c>
      <c r="AL65" s="25">
        <f t="shared" si="31"/>
        <v>0.0131036835570416</v>
      </c>
      <c r="AM65" s="25">
        <f t="shared" si="31"/>
        <v>0.00100432379295976</v>
      </c>
    </row>
  </sheetData>
  <mergeCells count="20">
    <mergeCell ref="A1:J1"/>
    <mergeCell ref="A2:J2"/>
    <mergeCell ref="AP4:AQ4"/>
    <mergeCell ref="A5:AM5"/>
    <mergeCell ref="AP11:AQ11"/>
    <mergeCell ref="A12:AM12"/>
    <mergeCell ref="A14:AM14"/>
    <mergeCell ref="A21:AM21"/>
    <mergeCell ref="AP25:AQ25"/>
    <mergeCell ref="A30:AM30"/>
    <mergeCell ref="A34:AM34"/>
    <mergeCell ref="A39:AM39"/>
    <mergeCell ref="A40:AM40"/>
    <mergeCell ref="A43:AM43"/>
    <mergeCell ref="A46:AM46"/>
    <mergeCell ref="A49:AM49"/>
    <mergeCell ref="A52:AM52"/>
    <mergeCell ref="A55:AM55"/>
    <mergeCell ref="A58:AM58"/>
    <mergeCell ref="A61:AM6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AQ65"/>
  <sheetViews>
    <sheetView workbookViewId="0">
      <selection activeCell="A1" sqref="A1:J1"/>
    </sheetView>
  </sheetViews>
  <sheetFormatPr defaultColWidth="9" defaultRowHeight="16.8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ht="20.4" spans="1:10">
      <c r="A1" s="1" t="s">
        <v>208</v>
      </c>
      <c r="B1" s="2"/>
      <c r="C1" s="2"/>
      <c r="D1" s="2"/>
      <c r="E1" s="2"/>
      <c r="F1" s="2"/>
      <c r="G1" s="2"/>
      <c r="H1" s="2"/>
      <c r="I1" s="2"/>
      <c r="J1" s="11"/>
    </row>
    <row r="2" spans="1:10">
      <c r="A2" s="13" t="s">
        <v>108</v>
      </c>
      <c r="B2" s="2"/>
      <c r="C2" s="2"/>
      <c r="D2" s="2"/>
      <c r="E2" s="2"/>
      <c r="F2" s="2"/>
      <c r="G2" s="2"/>
      <c r="H2" s="2"/>
      <c r="I2" s="2"/>
      <c r="J2" s="11"/>
    </row>
    <row r="4" ht="17" spans="1:43">
      <c r="A4" s="5" t="s">
        <v>15</v>
      </c>
      <c r="B4" s="5" t="s">
        <v>109</v>
      </c>
      <c r="C4" s="5">
        <v>2024</v>
      </c>
      <c r="D4" s="5">
        <v>2025</v>
      </c>
      <c r="E4" s="5">
        <v>2026</v>
      </c>
      <c r="F4" s="5">
        <v>2027</v>
      </c>
      <c r="G4" s="5">
        <v>2028</v>
      </c>
      <c r="H4" s="5">
        <v>2029</v>
      </c>
      <c r="I4" s="5">
        <v>2030</v>
      </c>
      <c r="J4" s="5">
        <v>2031</v>
      </c>
      <c r="K4" s="5">
        <v>2032</v>
      </c>
      <c r="L4" s="5">
        <v>2033</v>
      </c>
      <c r="M4" s="5">
        <v>2034</v>
      </c>
      <c r="N4" s="5">
        <v>2035</v>
      </c>
      <c r="O4" s="5">
        <v>2036</v>
      </c>
      <c r="P4" s="5">
        <v>2037</v>
      </c>
      <c r="Q4" s="5">
        <v>2038</v>
      </c>
      <c r="R4" s="5">
        <v>2039</v>
      </c>
      <c r="S4" s="5">
        <v>2040</v>
      </c>
      <c r="T4" s="5">
        <v>2041</v>
      </c>
      <c r="U4" s="5">
        <v>2042</v>
      </c>
      <c r="V4" s="5">
        <v>2043</v>
      </c>
      <c r="W4" s="5">
        <v>2044</v>
      </c>
      <c r="X4" s="5">
        <v>2045</v>
      </c>
      <c r="Y4" s="5">
        <v>2046</v>
      </c>
      <c r="Z4" s="5">
        <v>2047</v>
      </c>
      <c r="AA4" s="5">
        <v>2048</v>
      </c>
      <c r="AB4" s="5">
        <v>2049</v>
      </c>
      <c r="AC4" s="5">
        <v>2050</v>
      </c>
      <c r="AD4" s="5">
        <v>2051</v>
      </c>
      <c r="AE4" s="5">
        <v>2052</v>
      </c>
      <c r="AF4" s="5">
        <v>2053</v>
      </c>
      <c r="AG4" s="5">
        <v>2054</v>
      </c>
      <c r="AH4" s="5">
        <v>2055</v>
      </c>
      <c r="AI4" s="5">
        <v>2056</v>
      </c>
      <c r="AJ4" s="5">
        <v>2057</v>
      </c>
      <c r="AK4" s="5">
        <v>2058</v>
      </c>
      <c r="AL4" s="5">
        <v>2059</v>
      </c>
      <c r="AM4" s="5">
        <v>2060</v>
      </c>
      <c r="AP4" s="36" t="s">
        <v>110</v>
      </c>
      <c r="AQ4" s="11"/>
    </row>
    <row r="5" ht="17.6" spans="1:43">
      <c r="A5" s="3" t="s">
        <v>111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P5" s="5" t="s">
        <v>112</v>
      </c>
      <c r="AQ5" s="5" t="s">
        <v>113</v>
      </c>
    </row>
    <row r="6" spans="1:43">
      <c r="A6" s="20" t="s">
        <v>114</v>
      </c>
      <c r="B6" s="12" t="s">
        <v>115</v>
      </c>
      <c r="C6" s="21">
        <v>4.9</v>
      </c>
      <c r="D6" s="21">
        <v>4.5</v>
      </c>
      <c r="E6" s="21">
        <v>4.3</v>
      </c>
      <c r="F6" s="21">
        <v>4.1</v>
      </c>
      <c r="G6" s="21">
        <v>3.9</v>
      </c>
      <c r="H6" s="21">
        <v>3.7</v>
      </c>
      <c r="I6" s="21">
        <v>3.5</v>
      </c>
      <c r="J6" s="21">
        <v>3.3</v>
      </c>
      <c r="K6" s="21">
        <v>3.1</v>
      </c>
      <c r="L6" s="21">
        <v>3</v>
      </c>
      <c r="M6" s="21">
        <v>2.8</v>
      </c>
      <c r="N6" s="21">
        <v>2.7</v>
      </c>
      <c r="O6" s="21">
        <v>2.5</v>
      </c>
      <c r="P6" s="21">
        <v>2.4</v>
      </c>
      <c r="Q6" s="21">
        <v>2.2</v>
      </c>
      <c r="R6" s="21">
        <v>2.1</v>
      </c>
      <c r="S6" s="21">
        <v>2</v>
      </c>
      <c r="T6" s="21">
        <v>1.8</v>
      </c>
      <c r="U6" s="21">
        <v>1.7</v>
      </c>
      <c r="V6" s="21">
        <v>1.6</v>
      </c>
      <c r="W6" s="21">
        <v>1.5</v>
      </c>
      <c r="X6" s="21">
        <v>1.5</v>
      </c>
      <c r="Y6" s="21">
        <v>1.3</v>
      </c>
      <c r="Z6" s="21">
        <v>1.2</v>
      </c>
      <c r="AA6" s="21">
        <v>1.1</v>
      </c>
      <c r="AB6" s="21">
        <v>1</v>
      </c>
      <c r="AC6" s="21">
        <v>1</v>
      </c>
      <c r="AD6" s="21">
        <v>0.8</v>
      </c>
      <c r="AE6" s="21">
        <v>0.7</v>
      </c>
      <c r="AF6" s="21">
        <v>0.6</v>
      </c>
      <c r="AG6" s="21">
        <v>0.6</v>
      </c>
      <c r="AH6" s="21">
        <v>0.5</v>
      </c>
      <c r="AI6" s="21">
        <v>0.4</v>
      </c>
      <c r="AJ6" s="21">
        <v>0.4</v>
      </c>
      <c r="AK6" s="21">
        <v>0.3</v>
      </c>
      <c r="AL6" s="21">
        <v>0.3</v>
      </c>
      <c r="AM6" s="21">
        <v>0.2</v>
      </c>
      <c r="AP6" s="7" t="s">
        <v>44</v>
      </c>
      <c r="AQ6" s="37" t="s">
        <v>45</v>
      </c>
    </row>
    <row r="7" spans="1:43">
      <c r="A7" s="20" t="s">
        <v>116</v>
      </c>
      <c r="B7" s="12" t="s">
        <v>117</v>
      </c>
      <c r="C7" s="22">
        <v>124.92</v>
      </c>
      <c r="D7" s="22">
        <v>130.54</v>
      </c>
      <c r="E7" s="22">
        <v>135.627666872074</v>
      </c>
      <c r="F7" s="22">
        <v>140.913620508368</v>
      </c>
      <c r="G7" s="22">
        <v>146.405588938615</v>
      </c>
      <c r="H7" s="22">
        <v>152.111601384834</v>
      </c>
      <c r="I7" s="22">
        <v>158.04</v>
      </c>
      <c r="J7" s="22">
        <v>162.748904063458</v>
      </c>
      <c r="K7" s="22">
        <v>167.598112970493</v>
      </c>
      <c r="L7" s="22">
        <v>172.591807194706</v>
      </c>
      <c r="M7" s="22">
        <v>177.734291769616</v>
      </c>
      <c r="N7" s="22">
        <v>183.03</v>
      </c>
      <c r="O7" s="22">
        <v>187.130140285199</v>
      </c>
      <c r="P7" s="22">
        <v>191.322129722769</v>
      </c>
      <c r="Q7" s="22">
        <v>195.608025868354</v>
      </c>
      <c r="R7" s="22">
        <v>199.989932369863</v>
      </c>
      <c r="S7" s="22">
        <v>204.47</v>
      </c>
      <c r="T7" s="22">
        <v>207.272656009724</v>
      </c>
      <c r="U7" s="22">
        <v>210.113727829635</v>
      </c>
      <c r="V7" s="22">
        <v>212.993742022559</v>
      </c>
      <c r="W7" s="22">
        <v>215.913232368884</v>
      </c>
      <c r="X7" s="22">
        <v>218.872739965488</v>
      </c>
      <c r="Y7" s="22">
        <v>221.872813326025</v>
      </c>
      <c r="Z7" s="22">
        <v>224.914008482589</v>
      </c>
      <c r="AA7" s="22">
        <v>227.996889088765</v>
      </c>
      <c r="AB7" s="22">
        <v>231.1220265241</v>
      </c>
      <c r="AC7" s="22">
        <v>234.29</v>
      </c>
      <c r="AD7" s="22">
        <v>235.41536136499</v>
      </c>
      <c r="AE7" s="22">
        <v>236.546128160009</v>
      </c>
      <c r="AF7" s="22">
        <v>237.682326348874</v>
      </c>
      <c r="AG7" s="22">
        <v>238.82398202011</v>
      </c>
      <c r="AH7" s="22">
        <v>239.971121387554</v>
      </c>
      <c r="AI7" s="22">
        <v>241.123770790954</v>
      </c>
      <c r="AJ7" s="22">
        <v>242.281956696579</v>
      </c>
      <c r="AK7" s="22">
        <v>243.445705697818</v>
      </c>
      <c r="AL7" s="22">
        <v>244.6150445158</v>
      </c>
      <c r="AM7" s="22">
        <v>245.79</v>
      </c>
      <c r="AP7" s="7" t="s">
        <v>48</v>
      </c>
      <c r="AQ7" s="37" t="s">
        <v>49</v>
      </c>
    </row>
    <row r="8" spans="1:43">
      <c r="A8" s="20" t="s">
        <v>118</v>
      </c>
      <c r="B8" s="12" t="s">
        <v>119</v>
      </c>
      <c r="C8" s="22">
        <v>14.08</v>
      </c>
      <c r="D8" s="22">
        <v>14.08</v>
      </c>
      <c r="E8" s="22">
        <v>14.0539034418663</v>
      </c>
      <c r="F8" s="22">
        <v>14.0278552523652</v>
      </c>
      <c r="G8" s="22">
        <v>14.0018553418479</v>
      </c>
      <c r="H8" s="22">
        <v>13.9759036208318</v>
      </c>
      <c r="I8" s="22">
        <v>13.95</v>
      </c>
      <c r="J8" s="22">
        <v>13.9097686160443</v>
      </c>
      <c r="K8" s="22">
        <v>13.8696532582</v>
      </c>
      <c r="L8" s="22">
        <v>13.8296535918514</v>
      </c>
      <c r="M8" s="22">
        <v>13.7897692833476</v>
      </c>
      <c r="N8" s="22">
        <v>13.75</v>
      </c>
      <c r="O8" s="22">
        <v>13.6996323454979</v>
      </c>
      <c r="P8" s="22">
        <v>13.6494491928591</v>
      </c>
      <c r="Q8" s="22">
        <v>13.5994498662344</v>
      </c>
      <c r="R8" s="22">
        <v>13.5496336922503</v>
      </c>
      <c r="S8" s="22">
        <v>13.5</v>
      </c>
      <c r="T8" s="22">
        <v>13.434592209784</v>
      </c>
      <c r="U8" s="22">
        <v>13.3695013217176</v>
      </c>
      <c r="V8" s="22">
        <v>13.3047258004033</v>
      </c>
      <c r="W8" s="22">
        <v>13.2402641178822</v>
      </c>
      <c r="X8" s="22">
        <v>13.1761147535987</v>
      </c>
      <c r="Y8" s="22">
        <v>13.1122761943641</v>
      </c>
      <c r="Z8" s="22">
        <v>13.0487469343215</v>
      </c>
      <c r="AA8" s="22">
        <v>12.9855254749095</v>
      </c>
      <c r="AB8" s="22">
        <v>12.9226103248274</v>
      </c>
      <c r="AC8" s="22">
        <v>12.86</v>
      </c>
      <c r="AD8" s="22">
        <v>12.7829557644941</v>
      </c>
      <c r="AE8" s="22">
        <v>12.7063731008563</v>
      </c>
      <c r="AF8" s="22">
        <v>12.6302492438105</v>
      </c>
      <c r="AG8" s="22">
        <v>12.5545814446473</v>
      </c>
      <c r="AH8" s="22">
        <v>12.4793669711248</v>
      </c>
      <c r="AI8" s="22">
        <v>12.4046031073698</v>
      </c>
      <c r="AJ8" s="22">
        <v>12.3302871537803</v>
      </c>
      <c r="AK8" s="22">
        <v>12.2564164269271</v>
      </c>
      <c r="AL8" s="22">
        <v>12.1829882594578</v>
      </c>
      <c r="AM8" s="22">
        <v>12.11</v>
      </c>
      <c r="AP8" s="7" t="s">
        <v>52</v>
      </c>
      <c r="AQ8" s="37" t="s">
        <v>53</v>
      </c>
    </row>
    <row r="9" spans="1:43">
      <c r="A9" s="20" t="s">
        <v>120</v>
      </c>
      <c r="B9" s="12" t="s">
        <v>121</v>
      </c>
      <c r="C9" s="22">
        <v>106.5</v>
      </c>
      <c r="D9" s="22">
        <v>108</v>
      </c>
      <c r="E9" s="22">
        <v>110</v>
      </c>
      <c r="F9" s="22">
        <v>112</v>
      </c>
      <c r="G9" s="22">
        <v>115</v>
      </c>
      <c r="H9" s="22">
        <v>117</v>
      </c>
      <c r="I9" s="22">
        <v>118</v>
      </c>
      <c r="J9" s="22">
        <v>117</v>
      </c>
      <c r="K9" s="22">
        <v>115.5</v>
      </c>
      <c r="L9" s="22">
        <v>113.5</v>
      </c>
      <c r="M9" s="22">
        <v>111</v>
      </c>
      <c r="N9" s="22">
        <v>109</v>
      </c>
      <c r="O9" s="22">
        <v>106.5</v>
      </c>
      <c r="P9" s="22">
        <v>103.5</v>
      </c>
      <c r="Q9" s="22">
        <v>100</v>
      </c>
      <c r="R9" s="22">
        <v>96</v>
      </c>
      <c r="S9" s="22">
        <v>92</v>
      </c>
      <c r="T9" s="22">
        <v>87.5</v>
      </c>
      <c r="U9" s="22">
        <v>83</v>
      </c>
      <c r="V9" s="22">
        <v>78.5</v>
      </c>
      <c r="W9" s="22">
        <v>74</v>
      </c>
      <c r="X9" s="22">
        <v>69.5</v>
      </c>
      <c r="Y9" s="22">
        <v>65</v>
      </c>
      <c r="Z9" s="22">
        <v>60.5</v>
      </c>
      <c r="AA9" s="22">
        <v>56</v>
      </c>
      <c r="AB9" s="22">
        <v>51.5</v>
      </c>
      <c r="AC9" s="22">
        <v>47</v>
      </c>
      <c r="AD9" s="22">
        <v>43</v>
      </c>
      <c r="AE9" s="22">
        <v>39</v>
      </c>
      <c r="AF9" s="22">
        <v>35.5</v>
      </c>
      <c r="AG9" s="22">
        <v>32</v>
      </c>
      <c r="AH9" s="22">
        <v>29</v>
      </c>
      <c r="AI9" s="22">
        <v>26.5</v>
      </c>
      <c r="AJ9" s="22">
        <v>24.5</v>
      </c>
      <c r="AK9" s="22">
        <v>23</v>
      </c>
      <c r="AL9" s="22">
        <v>22</v>
      </c>
      <c r="AM9" s="22">
        <v>21</v>
      </c>
      <c r="AP9" s="7" t="s">
        <v>56</v>
      </c>
      <c r="AQ9" s="37" t="s">
        <v>57</v>
      </c>
    </row>
    <row r="10" ht="28" spans="1:39">
      <c r="A10" s="20" t="s">
        <v>122</v>
      </c>
      <c r="B10" s="12" t="s">
        <v>123</v>
      </c>
      <c r="C10" s="23">
        <v>1.85</v>
      </c>
      <c r="D10" s="23">
        <v>1.88515</v>
      </c>
      <c r="E10" s="23">
        <v>1.87572425</v>
      </c>
      <c r="F10" s="23">
        <v>1.860718456</v>
      </c>
      <c r="G10" s="23">
        <v>1.84211127144</v>
      </c>
      <c r="H10" s="23">
        <v>1.82000593618272</v>
      </c>
      <c r="I10" s="23">
        <v>1.79270584713998</v>
      </c>
      <c r="J10" s="23">
        <v>1.76581525943288</v>
      </c>
      <c r="K10" s="23">
        <v>1.73932803054139</v>
      </c>
      <c r="L10" s="23">
        <v>1.71323811008326</v>
      </c>
      <c r="M10" s="23">
        <v>1.68753953843202</v>
      </c>
      <c r="N10" s="23">
        <v>1.66222644535554</v>
      </c>
      <c r="O10" s="23">
        <v>1.64227972801127</v>
      </c>
      <c r="P10" s="23">
        <v>1.62257237127513</v>
      </c>
      <c r="Q10" s="23">
        <v>1.60310150281983</v>
      </c>
      <c r="R10" s="23">
        <v>1.58386428478599</v>
      </c>
      <c r="S10" s="23">
        <v>1.56802564193814</v>
      </c>
      <c r="T10" s="23">
        <v>1.55234538551875</v>
      </c>
      <c r="U10" s="23">
        <v>1.53682193166357</v>
      </c>
      <c r="V10" s="23">
        <v>1.52145371234693</v>
      </c>
      <c r="W10" s="23">
        <v>1.50928208264815</v>
      </c>
      <c r="X10" s="23">
        <v>1.49720782598697</v>
      </c>
      <c r="Y10" s="23">
        <v>1.48523016337907</v>
      </c>
      <c r="Z10" s="23">
        <v>1.47334832207204</v>
      </c>
      <c r="AA10" s="23">
        <v>1.46450823213961</v>
      </c>
      <c r="AB10" s="23">
        <v>1.45572118274677</v>
      </c>
      <c r="AC10" s="23">
        <v>1.44698685565029</v>
      </c>
      <c r="AD10" s="23">
        <v>1.43975192137204</v>
      </c>
      <c r="AE10" s="23">
        <v>1.43255316176518</v>
      </c>
      <c r="AF10" s="23">
        <v>1.42539039595635</v>
      </c>
      <c r="AG10" s="23">
        <v>1.41826344397657</v>
      </c>
      <c r="AH10" s="23">
        <v>1.41259039020066</v>
      </c>
      <c r="AI10" s="23">
        <v>1.40694002863986</v>
      </c>
      <c r="AJ10" s="23">
        <v>1.4013122685253</v>
      </c>
      <c r="AK10" s="23">
        <v>1.39710833171973</v>
      </c>
      <c r="AL10" s="23">
        <v>1.39291700672457</v>
      </c>
      <c r="AM10" s="23">
        <v>1.38873825570439</v>
      </c>
    </row>
    <row r="11" spans="1:43">
      <c r="A11" s="6" t="s">
        <v>124</v>
      </c>
      <c r="B11" s="12" t="s">
        <v>125</v>
      </c>
      <c r="C11" s="21">
        <v>0</v>
      </c>
      <c r="D11" s="21">
        <v>1.9</v>
      </c>
      <c r="E11" s="21">
        <v>-0.5</v>
      </c>
      <c r="F11" s="21">
        <v>-0.8</v>
      </c>
      <c r="G11" s="21">
        <v>-1</v>
      </c>
      <c r="H11" s="21">
        <v>-1.2</v>
      </c>
      <c r="I11" s="21">
        <v>-1.5</v>
      </c>
      <c r="J11" s="21">
        <v>-1.5</v>
      </c>
      <c r="K11" s="21">
        <v>-1.5</v>
      </c>
      <c r="L11" s="21">
        <v>-1.5</v>
      </c>
      <c r="M11" s="21">
        <v>-1.5</v>
      </c>
      <c r="N11" s="21">
        <v>-1.5</v>
      </c>
      <c r="O11" s="21">
        <v>-1.2</v>
      </c>
      <c r="P11" s="21">
        <v>-1.2</v>
      </c>
      <c r="Q11" s="21">
        <v>-1.2</v>
      </c>
      <c r="R11" s="21">
        <v>-1.2</v>
      </c>
      <c r="S11" s="21">
        <v>-1</v>
      </c>
      <c r="T11" s="21">
        <v>-1</v>
      </c>
      <c r="U11" s="21">
        <v>-1</v>
      </c>
      <c r="V11" s="21">
        <v>-1</v>
      </c>
      <c r="W11" s="21">
        <v>-0.8</v>
      </c>
      <c r="X11" s="21">
        <v>-0.8</v>
      </c>
      <c r="Y11" s="21">
        <v>-0.8</v>
      </c>
      <c r="Z11" s="21">
        <v>-0.8</v>
      </c>
      <c r="AA11" s="21">
        <v>-0.6</v>
      </c>
      <c r="AB11" s="21">
        <v>-0.6</v>
      </c>
      <c r="AC11" s="21">
        <v>-0.6</v>
      </c>
      <c r="AD11" s="21">
        <v>-0.5</v>
      </c>
      <c r="AE11" s="21">
        <v>-0.5</v>
      </c>
      <c r="AF11" s="21">
        <v>-0.5</v>
      </c>
      <c r="AG11" s="21">
        <v>-0.5</v>
      </c>
      <c r="AH11" s="21">
        <v>-0.4</v>
      </c>
      <c r="AI11" s="21">
        <v>-0.4</v>
      </c>
      <c r="AJ11" s="21">
        <v>-0.4</v>
      </c>
      <c r="AK11" s="21">
        <v>-0.3</v>
      </c>
      <c r="AL11" s="21">
        <v>-0.3</v>
      </c>
      <c r="AM11" s="21">
        <v>-0.3</v>
      </c>
      <c r="AP11" s="20" t="s">
        <v>126</v>
      </c>
      <c r="AQ11" s="11"/>
    </row>
    <row r="12" ht="17.6" spans="1:43">
      <c r="A12" s="3" t="s">
        <v>127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P12" s="7" t="s">
        <v>60</v>
      </c>
      <c r="AQ12" s="37" t="s">
        <v>61</v>
      </c>
    </row>
    <row r="13" spans="1:43">
      <c r="A13" s="20" t="s">
        <v>48</v>
      </c>
      <c r="B13" s="12" t="s">
        <v>128</v>
      </c>
      <c r="C13" s="24">
        <v>100509</v>
      </c>
      <c r="D13" s="24">
        <v>96081</v>
      </c>
      <c r="E13" s="24">
        <v>93754.8615338214</v>
      </c>
      <c r="F13" s="24">
        <v>91485.0393025261</v>
      </c>
      <c r="G13" s="24">
        <v>89270.1698798362</v>
      </c>
      <c r="H13" s="24">
        <v>87108.9228482713</v>
      </c>
      <c r="I13" s="24">
        <v>85000</v>
      </c>
      <c r="J13" s="24">
        <v>84263.9628274251</v>
      </c>
      <c r="K13" s="24">
        <v>83534.2991927257</v>
      </c>
      <c r="L13" s="24">
        <v>82810.9539057747</v>
      </c>
      <c r="M13" s="24">
        <v>82093.8722543508</v>
      </c>
      <c r="N13" s="24">
        <v>81383</v>
      </c>
      <c r="O13" s="24">
        <v>79529.2521898213</v>
      </c>
      <c r="P13" s="24">
        <v>77717.7291801998</v>
      </c>
      <c r="Q13" s="24">
        <v>75947.4691716002</v>
      </c>
      <c r="R13" s="24">
        <v>74217.5322724264</v>
      </c>
      <c r="S13" s="24">
        <v>72527</v>
      </c>
      <c r="T13" s="24">
        <v>71386.9467254975</v>
      </c>
      <c r="U13" s="24">
        <v>70264.8139698184</v>
      </c>
      <c r="V13" s="24">
        <v>69160.3200399909</v>
      </c>
      <c r="W13" s="24">
        <v>68073.1876709802</v>
      </c>
      <c r="X13" s="24">
        <v>67003.1439560861</v>
      </c>
      <c r="Y13" s="24">
        <v>65949.9202784337</v>
      </c>
      <c r="Z13" s="24">
        <v>64913.2522435418</v>
      </c>
      <c r="AA13" s="24">
        <v>63892.879612951</v>
      </c>
      <c r="AB13" s="24">
        <v>62888.5462388953</v>
      </c>
      <c r="AC13" s="24">
        <v>61900</v>
      </c>
      <c r="AD13" s="24">
        <v>60915.0900170017</v>
      </c>
      <c r="AE13" s="24">
        <v>59945.8512403783</v>
      </c>
      <c r="AF13" s="24">
        <v>58992.0343207341</v>
      </c>
      <c r="AG13" s="24">
        <v>58053.3938761481</v>
      </c>
      <c r="AH13" s="24">
        <v>57129.6884290471</v>
      </c>
      <c r="AI13" s="24">
        <v>56220.6803440818</v>
      </c>
      <c r="AJ13" s="24">
        <v>55326.1357669923</v>
      </c>
      <c r="AK13" s="24">
        <v>54445.8245644458</v>
      </c>
      <c r="AL13" s="24">
        <v>53579.5202648319</v>
      </c>
      <c r="AM13" s="24">
        <v>52727</v>
      </c>
      <c r="AP13" s="7" t="s">
        <v>64</v>
      </c>
      <c r="AQ13" s="37" t="s">
        <v>65</v>
      </c>
    </row>
    <row r="14" ht="17.6" spans="1:43">
      <c r="A14" s="3" t="s">
        <v>129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P14" s="7" t="s">
        <v>68</v>
      </c>
      <c r="AQ14" s="37" t="s">
        <v>69</v>
      </c>
    </row>
    <row r="15" spans="1:39">
      <c r="A15" s="20" t="s">
        <v>64</v>
      </c>
      <c r="B15" s="12" t="s">
        <v>130</v>
      </c>
      <c r="C15" s="21">
        <v>10</v>
      </c>
      <c r="D15" s="21">
        <v>10</v>
      </c>
      <c r="E15" s="21">
        <v>10.3</v>
      </c>
      <c r="F15" s="21">
        <v>10.6</v>
      </c>
      <c r="G15" s="21">
        <v>10.9</v>
      </c>
      <c r="H15" s="21">
        <v>11.2</v>
      </c>
      <c r="I15" s="21">
        <v>11.5</v>
      </c>
      <c r="J15" s="21">
        <v>11.64</v>
      </c>
      <c r="K15" s="21">
        <v>11.78</v>
      </c>
      <c r="L15" s="21">
        <v>11.92</v>
      </c>
      <c r="M15" s="21">
        <v>12.06</v>
      </c>
      <c r="N15" s="21">
        <v>12.2</v>
      </c>
      <c r="O15" s="21">
        <v>13.088012815717</v>
      </c>
      <c r="P15" s="21">
        <v>14.040662251178</v>
      </c>
      <c r="Q15" s="21">
        <v>15.0626530725059</v>
      </c>
      <c r="R15" s="21">
        <v>16.1590324960373</v>
      </c>
      <c r="S15" s="21">
        <v>17.3352151145675</v>
      </c>
      <c r="T15" s="21">
        <v>18.5970096379238</v>
      </c>
      <c r="U15" s="21">
        <v>19.950647579931</v>
      </c>
      <c r="V15" s="21">
        <v>21.4028140334418</v>
      </c>
      <c r="W15" s="21">
        <v>22.9606806854175</v>
      </c>
      <c r="X15" s="21">
        <v>24.631941235109</v>
      </c>
      <c r="Y15" s="21">
        <v>26.4248493902536</v>
      </c>
      <c r="Z15" s="21">
        <v>28.3482596289369</v>
      </c>
      <c r="AA15" s="21">
        <v>30.4116709284261</v>
      </c>
      <c r="AB15" s="21">
        <v>32.6252736769351</v>
      </c>
      <c r="AC15" s="21">
        <v>35</v>
      </c>
      <c r="AD15" s="21">
        <v>36.270892346861</v>
      </c>
      <c r="AE15" s="21">
        <v>37.5879323325023</v>
      </c>
      <c r="AF15" s="21">
        <v>38.9527956335225</v>
      </c>
      <c r="AG15" s="21">
        <v>40.3672187723649</v>
      </c>
      <c r="AH15" s="21">
        <v>41.8330013267038</v>
      </c>
      <c r="AI15" s="21">
        <v>43.3520082190562</v>
      </c>
      <c r="AJ15" s="21">
        <v>44.926172089532</v>
      </c>
      <c r="AK15" s="21">
        <v>46.5574957547419</v>
      </c>
      <c r="AL15" s="21">
        <v>48.2480547559909</v>
      </c>
      <c r="AM15" s="21">
        <v>50</v>
      </c>
    </row>
    <row r="16" spans="1:43">
      <c r="A16" s="20" t="s">
        <v>68</v>
      </c>
      <c r="B16" s="12" t="s">
        <v>131</v>
      </c>
      <c r="C16" s="23">
        <v>1</v>
      </c>
      <c r="D16" s="23">
        <v>1.1</v>
      </c>
      <c r="E16" s="23">
        <v>1.29628993763272</v>
      </c>
      <c r="F16" s="23">
        <v>1.52760691127984</v>
      </c>
      <c r="G16" s="23">
        <v>1.80020133431841</v>
      </c>
      <c r="H16" s="23">
        <v>2.12143897762722</v>
      </c>
      <c r="I16" s="23">
        <v>2.5</v>
      </c>
      <c r="J16" s="23">
        <v>2.74640135826529</v>
      </c>
      <c r="K16" s="23">
        <v>3.01708816827258</v>
      </c>
      <c r="L16" s="23">
        <v>3.31445401733999</v>
      </c>
      <c r="M16" s="23">
        <v>3.64112840605216</v>
      </c>
      <c r="N16" s="23">
        <v>4</v>
      </c>
      <c r="O16" s="23">
        <v>4.30857435117097</v>
      </c>
      <c r="P16" s="23">
        <v>4.64095323489209</v>
      </c>
      <c r="Q16" s="23">
        <v>4.99897301821001</v>
      </c>
      <c r="R16" s="23">
        <v>5.38461173211384</v>
      </c>
      <c r="S16" s="23">
        <v>5.8</v>
      </c>
      <c r="T16" s="23">
        <v>6.18335901086328</v>
      </c>
      <c r="U16" s="23">
        <v>6.59205666503865</v>
      </c>
      <c r="V16" s="23">
        <v>7.02776775515312</v>
      </c>
      <c r="W16" s="23">
        <v>7.4922777715656</v>
      </c>
      <c r="X16" s="23">
        <v>7.98749021908634</v>
      </c>
      <c r="Y16" s="23">
        <v>8.51543441730515</v>
      </c>
      <c r="Z16" s="23">
        <v>9.07827381649296</v>
      </c>
      <c r="AA16" s="23">
        <v>9.67831486315447</v>
      </c>
      <c r="AB16" s="23">
        <v>10.3180164515618</v>
      </c>
      <c r="AC16" s="23">
        <v>11</v>
      </c>
      <c r="AD16" s="23">
        <v>11.4199818823516</v>
      </c>
      <c r="AE16" s="23">
        <v>11.85599874484</v>
      </c>
      <c r="AF16" s="23">
        <v>12.3086628057506</v>
      </c>
      <c r="AG16" s="23">
        <v>12.7786096579679</v>
      </c>
      <c r="AH16" s="23">
        <v>13.2664991614216</v>
      </c>
      <c r="AI16" s="23">
        <v>13.7730163696062</v>
      </c>
      <c r="AJ16" s="23">
        <v>14.2988724914759</v>
      </c>
      <c r="AK16" s="23">
        <v>14.8448058900647</v>
      </c>
      <c r="AL16" s="23">
        <v>15.4115831192332</v>
      </c>
      <c r="AM16" s="23">
        <v>16</v>
      </c>
      <c r="AP16" s="7" t="s">
        <v>58</v>
      </c>
      <c r="AQ16" s="37" t="s">
        <v>59</v>
      </c>
    </row>
    <row r="17" spans="1:43">
      <c r="A17" s="20" t="s">
        <v>60</v>
      </c>
      <c r="B17" s="12" t="e">
        <f>1-短流程%-氢冶金%</f>
        <v>#NAME?</v>
      </c>
      <c r="C17" s="25">
        <f t="shared" ref="C17:AM17" si="0">1-C15/100-C16/100</f>
        <v>0.89</v>
      </c>
      <c r="D17" s="25">
        <f t="shared" si="0"/>
        <v>0.889</v>
      </c>
      <c r="E17" s="25">
        <f t="shared" si="0"/>
        <v>0.884037100623673</v>
      </c>
      <c r="F17" s="25">
        <f t="shared" si="0"/>
        <v>0.878723930887202</v>
      </c>
      <c r="G17" s="25">
        <f t="shared" si="0"/>
        <v>0.872997986656816</v>
      </c>
      <c r="H17" s="25">
        <f t="shared" si="0"/>
        <v>0.866785610223728</v>
      </c>
      <c r="I17" s="25">
        <f t="shared" si="0"/>
        <v>0.86</v>
      </c>
      <c r="J17" s="25">
        <f t="shared" si="0"/>
        <v>0.856135986417347</v>
      </c>
      <c r="K17" s="25">
        <f t="shared" si="0"/>
        <v>0.852029118317274</v>
      </c>
      <c r="L17" s="25">
        <f t="shared" si="0"/>
        <v>0.8476554598266</v>
      </c>
      <c r="M17" s="25">
        <f t="shared" si="0"/>
        <v>0.842988715939478</v>
      </c>
      <c r="N17" s="25">
        <f t="shared" si="0"/>
        <v>0.838</v>
      </c>
      <c r="O17" s="25">
        <f t="shared" si="0"/>
        <v>0.826034128331121</v>
      </c>
      <c r="P17" s="25">
        <f t="shared" si="0"/>
        <v>0.813183845139299</v>
      </c>
      <c r="Q17" s="25">
        <f t="shared" si="0"/>
        <v>0.799383739092841</v>
      </c>
      <c r="R17" s="25">
        <f t="shared" si="0"/>
        <v>0.784563557718488</v>
      </c>
      <c r="S17" s="25">
        <f t="shared" si="0"/>
        <v>0.768647848854325</v>
      </c>
      <c r="T17" s="25">
        <f t="shared" si="0"/>
        <v>0.752196313512129</v>
      </c>
      <c r="U17" s="25">
        <f t="shared" si="0"/>
        <v>0.734572957550303</v>
      </c>
      <c r="V17" s="25">
        <f t="shared" si="0"/>
        <v>0.715694182114051</v>
      </c>
      <c r="W17" s="25">
        <f t="shared" si="0"/>
        <v>0.695470415430169</v>
      </c>
      <c r="X17" s="25">
        <f t="shared" si="0"/>
        <v>0.673805685458047</v>
      </c>
      <c r="Y17" s="25">
        <f t="shared" si="0"/>
        <v>0.650597161924412</v>
      </c>
      <c r="Z17" s="25">
        <f t="shared" si="0"/>
        <v>0.625734665545702</v>
      </c>
      <c r="AA17" s="25">
        <f t="shared" si="0"/>
        <v>0.599100142084194</v>
      </c>
      <c r="AB17" s="25">
        <f t="shared" si="0"/>
        <v>0.570567098715032</v>
      </c>
      <c r="AC17" s="25">
        <f t="shared" si="0"/>
        <v>0.54</v>
      </c>
      <c r="AD17" s="25">
        <f t="shared" si="0"/>
        <v>0.523091257707874</v>
      </c>
      <c r="AE17" s="25">
        <f t="shared" si="0"/>
        <v>0.505560689226577</v>
      </c>
      <c r="AF17" s="25">
        <f t="shared" si="0"/>
        <v>0.487385415607269</v>
      </c>
      <c r="AG17" s="25">
        <f t="shared" si="0"/>
        <v>0.468541715696672</v>
      </c>
      <c r="AH17" s="25">
        <f t="shared" si="0"/>
        <v>0.449004995118746</v>
      </c>
      <c r="AI17" s="25">
        <f t="shared" si="0"/>
        <v>0.428749754113377</v>
      </c>
      <c r="AJ17" s="25">
        <f t="shared" si="0"/>
        <v>0.407749554189921</v>
      </c>
      <c r="AK17" s="25">
        <f t="shared" si="0"/>
        <v>0.385976983551934</v>
      </c>
      <c r="AL17" s="25">
        <f t="shared" si="0"/>
        <v>0.363403621247759</v>
      </c>
      <c r="AM17" s="25">
        <f t="shared" si="0"/>
        <v>0.34</v>
      </c>
      <c r="AP17" s="7" t="s">
        <v>62</v>
      </c>
      <c r="AQ17" s="37" t="s">
        <v>63</v>
      </c>
    </row>
    <row r="18" spans="1:43">
      <c r="A18" s="6" t="s">
        <v>132</v>
      </c>
      <c r="B18" s="12" t="e">
        <f>长流程产量公式</f>
        <v>#NAME?</v>
      </c>
      <c r="C18" s="26">
        <f t="shared" ref="C18:AM18" si="1">C13*C17</f>
        <v>89453.01</v>
      </c>
      <c r="D18" s="26">
        <f t="shared" si="1"/>
        <v>85416.009</v>
      </c>
      <c r="E18" s="26">
        <f t="shared" si="1"/>
        <v>82882.7759597333</v>
      </c>
      <c r="F18" s="26">
        <f t="shared" si="1"/>
        <v>80390.0933532859</v>
      </c>
      <c r="G18" s="26">
        <f t="shared" si="1"/>
        <v>77932.678573609</v>
      </c>
      <c r="H18" s="26">
        <f t="shared" si="1"/>
        <v>75504.7608469705</v>
      </c>
      <c r="I18" s="26">
        <f t="shared" si="1"/>
        <v>73100</v>
      </c>
      <c r="J18" s="26">
        <f t="shared" si="1"/>
        <v>72141.4109346923</v>
      </c>
      <c r="K18" s="26">
        <f t="shared" si="1"/>
        <v>71173.6552904295</v>
      </c>
      <c r="L18" s="26">
        <f t="shared" si="1"/>
        <v>70195.1572116788</v>
      </c>
      <c r="M18" s="26">
        <f t="shared" si="1"/>
        <v>69204.2079581947</v>
      </c>
      <c r="N18" s="26">
        <f t="shared" si="1"/>
        <v>68198.954</v>
      </c>
      <c r="O18" s="26">
        <f t="shared" si="1"/>
        <v>65693.8765094449</v>
      </c>
      <c r="P18" s="26">
        <f t="shared" si="1"/>
        <v>63198.8018502496</v>
      </c>
      <c r="Q18" s="26">
        <f t="shared" si="1"/>
        <v>60711.1718810321</v>
      </c>
      <c r="R18" s="26">
        <f t="shared" si="1"/>
        <v>58228.3711647416</v>
      </c>
      <c r="S18" s="26">
        <f t="shared" si="1"/>
        <v>55747.7225338576</v>
      </c>
      <c r="T18" s="26">
        <f t="shared" si="1"/>
        <v>53696.998159806</v>
      </c>
      <c r="U18" s="26">
        <f t="shared" si="1"/>
        <v>51614.6322095313</v>
      </c>
      <c r="V18" s="26">
        <f t="shared" si="1"/>
        <v>49497.6386857672</v>
      </c>
      <c r="W18" s="26">
        <f t="shared" si="1"/>
        <v>47342.8881091925</v>
      </c>
      <c r="X18" s="26">
        <f t="shared" si="1"/>
        <v>45147.0993411748</v>
      </c>
      <c r="Y18" s="26">
        <f t="shared" si="1"/>
        <v>42906.8309622902</v>
      </c>
      <c r="Z18" s="26">
        <f t="shared" si="1"/>
        <v>40618.4721820964</v>
      </c>
      <c r="AA18" s="26">
        <f t="shared" si="1"/>
        <v>38278.2332542873</v>
      </c>
      <c r="AB18" s="26">
        <f t="shared" si="1"/>
        <v>35882.1353699326</v>
      </c>
      <c r="AC18" s="26">
        <f t="shared" si="1"/>
        <v>33426</v>
      </c>
      <c r="AD18" s="26">
        <f t="shared" si="1"/>
        <v>31864.1510503817</v>
      </c>
      <c r="AE18" s="26">
        <f t="shared" si="1"/>
        <v>30306.2658693596</v>
      </c>
      <c r="AF18" s="26">
        <f t="shared" si="1"/>
        <v>28751.8571649293</v>
      </c>
      <c r="AG18" s="26">
        <f t="shared" si="1"/>
        <v>27200.4367687451</v>
      </c>
      <c r="AH18" s="26">
        <f t="shared" si="1"/>
        <v>25651.5154742198</v>
      </c>
      <c r="AI18" s="26">
        <f t="shared" si="1"/>
        <v>24104.6028736118</v>
      </c>
      <c r="AJ18" s="26">
        <f t="shared" si="1"/>
        <v>22559.2071940421</v>
      </c>
      <c r="AK18" s="26">
        <f t="shared" si="1"/>
        <v>21014.8351323826</v>
      </c>
      <c r="AL18" s="26">
        <f t="shared" si="1"/>
        <v>19470.9916889576</v>
      </c>
      <c r="AM18" s="26">
        <f t="shared" si="1"/>
        <v>17927.18</v>
      </c>
      <c r="AP18" s="7" t="s">
        <v>66</v>
      </c>
      <c r="AQ18" s="37" t="s">
        <v>67</v>
      </c>
    </row>
    <row r="19" spans="1:39">
      <c r="A19" s="6" t="s">
        <v>133</v>
      </c>
      <c r="B19" s="12" t="e">
        <f>短流程产量公式</f>
        <v>#NAME?</v>
      </c>
      <c r="C19" s="26">
        <f t="shared" ref="C19:AM19" si="2">C13*C15/100</f>
        <v>10050.9</v>
      </c>
      <c r="D19" s="26">
        <f t="shared" si="2"/>
        <v>9608.1</v>
      </c>
      <c r="E19" s="26">
        <f t="shared" si="2"/>
        <v>9656.7507379836</v>
      </c>
      <c r="F19" s="26">
        <f t="shared" si="2"/>
        <v>9697.41416606777</v>
      </c>
      <c r="G19" s="26">
        <f t="shared" si="2"/>
        <v>9730.44851690215</v>
      </c>
      <c r="H19" s="26">
        <f t="shared" si="2"/>
        <v>9756.19935900638</v>
      </c>
      <c r="I19" s="26">
        <f t="shared" si="2"/>
        <v>9775</v>
      </c>
      <c r="J19" s="26">
        <f t="shared" si="2"/>
        <v>9808.32527311228</v>
      </c>
      <c r="K19" s="26">
        <f t="shared" si="2"/>
        <v>9840.34044490309</v>
      </c>
      <c r="L19" s="26">
        <f t="shared" si="2"/>
        <v>9871.06570556834</v>
      </c>
      <c r="M19" s="26">
        <f t="shared" si="2"/>
        <v>9900.5209938747</v>
      </c>
      <c r="N19" s="26">
        <f t="shared" si="2"/>
        <v>9928.726</v>
      </c>
      <c r="O19" s="26">
        <f t="shared" si="2"/>
        <v>10408.7987188477</v>
      </c>
      <c r="P19" s="26">
        <f t="shared" si="2"/>
        <v>10912.0838634771</v>
      </c>
      <c r="Q19" s="26">
        <f t="shared" si="2"/>
        <v>11439.7037986665</v>
      </c>
      <c r="R19" s="26">
        <f t="shared" si="2"/>
        <v>11992.8351576584</v>
      </c>
      <c r="S19" s="26">
        <f t="shared" si="2"/>
        <v>12572.7114661424</v>
      </c>
      <c r="T19" s="26">
        <f t="shared" si="2"/>
        <v>13275.8373627603</v>
      </c>
      <c r="U19" s="26">
        <f t="shared" si="2"/>
        <v>14018.2854078126</v>
      </c>
      <c r="V19" s="26">
        <f t="shared" si="2"/>
        <v>14802.2546830924</v>
      </c>
      <c r="W19" s="26">
        <f t="shared" si="2"/>
        <v>15630.0672535188</v>
      </c>
      <c r="X19" s="26">
        <f t="shared" si="2"/>
        <v>16504.1750449386</v>
      </c>
      <c r="Y19" s="26">
        <f t="shared" si="2"/>
        <v>17427.1671065684</v>
      </c>
      <c r="Z19" s="26">
        <f t="shared" si="2"/>
        <v>18401.7772795859</v>
      </c>
      <c r="AA19" s="26">
        <f t="shared" si="2"/>
        <v>19430.8922945861</v>
      </c>
      <c r="AB19" s="26">
        <f t="shared" si="2"/>
        <v>20517.5603218854</v>
      </c>
      <c r="AC19" s="26">
        <f t="shared" si="2"/>
        <v>21665</v>
      </c>
      <c r="AD19" s="26">
        <f t="shared" si="2"/>
        <v>22094.4467230602</v>
      </c>
      <c r="AE19" s="26">
        <f t="shared" si="2"/>
        <v>22532.4060003759</v>
      </c>
      <c r="AF19" s="26">
        <f t="shared" si="2"/>
        <v>22979.046569013</v>
      </c>
      <c r="AG19" s="26">
        <f t="shared" si="2"/>
        <v>23434.5405107674</v>
      </c>
      <c r="AH19" s="26">
        <f t="shared" si="2"/>
        <v>23899.063318465</v>
      </c>
      <c r="AI19" s="26">
        <f t="shared" si="2"/>
        <v>24372.7939635757</v>
      </c>
      <c r="AJ19" s="26">
        <f t="shared" si="2"/>
        <v>24855.9149651671</v>
      </c>
      <c r="AK19" s="26">
        <f t="shared" si="2"/>
        <v>25348.6124602261</v>
      </c>
      <c r="AL19" s="26">
        <f t="shared" si="2"/>
        <v>25851.0762753733</v>
      </c>
      <c r="AM19" s="26">
        <f t="shared" si="2"/>
        <v>26363.5</v>
      </c>
    </row>
    <row r="20" spans="1:43">
      <c r="A20" s="6" t="s">
        <v>134</v>
      </c>
      <c r="B20" s="12" t="e">
        <f>氢冶金产量公式</f>
        <v>#NAME?</v>
      </c>
      <c r="C20" s="26">
        <f t="shared" ref="C20:AM20" si="3">C13*C16/100</f>
        <v>1005.09</v>
      </c>
      <c r="D20" s="26">
        <f t="shared" si="3"/>
        <v>1056.891</v>
      </c>
      <c r="E20" s="26">
        <f t="shared" si="3"/>
        <v>1215.33483610441</v>
      </c>
      <c r="F20" s="26">
        <f t="shared" si="3"/>
        <v>1397.53178317247</v>
      </c>
      <c r="G20" s="26">
        <f t="shared" si="3"/>
        <v>1607.04278932512</v>
      </c>
      <c r="H20" s="26">
        <f t="shared" si="3"/>
        <v>1847.96264229445</v>
      </c>
      <c r="I20" s="26">
        <f t="shared" si="3"/>
        <v>2125</v>
      </c>
      <c r="J20" s="26">
        <f t="shared" si="3"/>
        <v>2314.22661962057</v>
      </c>
      <c r="K20" s="26">
        <f t="shared" si="3"/>
        <v>2520.30345739315</v>
      </c>
      <c r="L20" s="26">
        <f t="shared" si="3"/>
        <v>2744.73098852751</v>
      </c>
      <c r="M20" s="26">
        <f t="shared" si="3"/>
        <v>2989.14330228134</v>
      </c>
      <c r="N20" s="26">
        <f t="shared" si="3"/>
        <v>3255.32</v>
      </c>
      <c r="O20" s="26">
        <f t="shared" si="3"/>
        <v>3426.57696152872</v>
      </c>
      <c r="P20" s="26">
        <f t="shared" si="3"/>
        <v>3606.84346647316</v>
      </c>
      <c r="Q20" s="26">
        <f t="shared" si="3"/>
        <v>3796.59349190166</v>
      </c>
      <c r="R20" s="26">
        <f t="shared" si="3"/>
        <v>3996.32595002645</v>
      </c>
      <c r="S20" s="26">
        <f t="shared" si="3"/>
        <v>4206.566</v>
      </c>
      <c r="T20" s="26">
        <f t="shared" si="3"/>
        <v>4414.11120293122</v>
      </c>
      <c r="U20" s="26">
        <f t="shared" si="3"/>
        <v>4631.89635247442</v>
      </c>
      <c r="V20" s="26">
        <f t="shared" si="3"/>
        <v>4860.42667113118</v>
      </c>
      <c r="W20" s="26">
        <f t="shared" si="3"/>
        <v>5100.23230826898</v>
      </c>
      <c r="X20" s="26">
        <f t="shared" si="3"/>
        <v>5351.86956997272</v>
      </c>
      <c r="Y20" s="26">
        <f t="shared" si="3"/>
        <v>5615.92220957505</v>
      </c>
      <c r="Z20" s="26">
        <f t="shared" si="3"/>
        <v>5893.00278185948</v>
      </c>
      <c r="AA20" s="26">
        <f t="shared" si="3"/>
        <v>6183.75406407763</v>
      </c>
      <c r="AB20" s="26">
        <f t="shared" si="3"/>
        <v>6488.85054707724</v>
      </c>
      <c r="AC20" s="26">
        <f t="shared" si="3"/>
        <v>6809</v>
      </c>
      <c r="AD20" s="26">
        <f t="shared" si="3"/>
        <v>6956.49224355979</v>
      </c>
      <c r="AE20" s="26">
        <f t="shared" si="3"/>
        <v>7107.1793706429</v>
      </c>
      <c r="AF20" s="26">
        <f t="shared" si="3"/>
        <v>7261.13058679182</v>
      </c>
      <c r="AG20" s="26">
        <f t="shared" si="3"/>
        <v>7418.41659663563</v>
      </c>
      <c r="AH20" s="26">
        <f t="shared" si="3"/>
        <v>7579.10963636231</v>
      </c>
      <c r="AI20" s="26">
        <f t="shared" si="3"/>
        <v>7743.28350689436</v>
      </c>
      <c r="AJ20" s="26">
        <f t="shared" si="3"/>
        <v>7911.01360778309</v>
      </c>
      <c r="AK20" s="26">
        <f t="shared" si="3"/>
        <v>8082.37697183713</v>
      </c>
      <c r="AL20" s="26">
        <f t="shared" si="3"/>
        <v>8257.45230050098</v>
      </c>
      <c r="AM20" s="26">
        <f t="shared" si="3"/>
        <v>8436.32</v>
      </c>
      <c r="AP20" s="7" t="s">
        <v>135</v>
      </c>
      <c r="AQ20" s="37" t="s">
        <v>136</v>
      </c>
    </row>
    <row r="21" ht="17.6" spans="1:43">
      <c r="A21" s="3" t="s">
        <v>137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P21" s="7" t="s">
        <v>138</v>
      </c>
      <c r="AQ21" s="37" t="s">
        <v>139</v>
      </c>
    </row>
    <row r="22" ht="28" spans="1:43">
      <c r="A22" s="12" t="s">
        <v>140</v>
      </c>
      <c r="B22" s="12" t="s">
        <v>141</v>
      </c>
      <c r="C22" s="27">
        <v>28000</v>
      </c>
      <c r="D22" s="27">
        <v>28500</v>
      </c>
      <c r="E22" s="27">
        <v>29167.9484439524</v>
      </c>
      <c r="F22" s="27">
        <v>29851.5514536514</v>
      </c>
      <c r="G22" s="27">
        <v>30551.1759218279</v>
      </c>
      <c r="H22" s="27">
        <v>31267.1973399998</v>
      </c>
      <c r="I22" s="27">
        <v>32000</v>
      </c>
      <c r="J22" s="27">
        <v>33118.9608653058</v>
      </c>
      <c r="K22" s="27">
        <v>34277.0490249268</v>
      </c>
      <c r="L22" s="27">
        <v>35475.632663585</v>
      </c>
      <c r="M22" s="27">
        <v>36716.1278080387</v>
      </c>
      <c r="N22" s="27">
        <v>38000</v>
      </c>
      <c r="O22" s="27">
        <v>39306.9530545997</v>
      </c>
      <c r="P22" s="27">
        <v>40658.8568009607</v>
      </c>
      <c r="Q22" s="27">
        <v>42057.2572507646</v>
      </c>
      <c r="R22" s="27">
        <v>43503.753588448</v>
      </c>
      <c r="S22" s="27">
        <v>45000</v>
      </c>
      <c r="T22" s="27">
        <v>45958.3059420061</v>
      </c>
      <c r="U22" s="27">
        <v>46937.0196679785</v>
      </c>
      <c r="V22" s="27">
        <v>47936.5757757091</v>
      </c>
      <c r="W22" s="27">
        <v>48957.4181180488</v>
      </c>
      <c r="X22" s="27">
        <v>50000</v>
      </c>
      <c r="Y22" s="27">
        <v>49798.3805270478</v>
      </c>
      <c r="Z22" s="27">
        <v>49597.574062333</v>
      </c>
      <c r="AA22" s="27">
        <v>49397.5773274899</v>
      </c>
      <c r="AB22" s="27">
        <v>49198.3870573721</v>
      </c>
      <c r="AC22" s="27">
        <v>49000</v>
      </c>
      <c r="AD22" s="27">
        <v>48593.3047383302</v>
      </c>
      <c r="AE22" s="27">
        <v>48189.9850080046</v>
      </c>
      <c r="AF22" s="27">
        <v>47790.0127924394</v>
      </c>
      <c r="AG22" s="27">
        <v>47393.3603075858</v>
      </c>
      <c r="AH22" s="27">
        <v>47000</v>
      </c>
      <c r="AI22" s="27">
        <v>46593.0123036347</v>
      </c>
      <c r="AJ22" s="27">
        <v>46189.5488409926</v>
      </c>
      <c r="AK22" s="27">
        <v>45789.579094632</v>
      </c>
      <c r="AL22" s="27">
        <v>45393.0728113711</v>
      </c>
      <c r="AM22" s="27">
        <v>45000</v>
      </c>
      <c r="AP22" s="7" t="s">
        <v>142</v>
      </c>
      <c r="AQ22" s="37" t="s">
        <v>143</v>
      </c>
    </row>
    <row r="23" spans="1:43">
      <c r="A23" s="6" t="s">
        <v>144</v>
      </c>
      <c r="B23" s="12" t="s">
        <v>145</v>
      </c>
      <c r="C23" s="26">
        <f t="shared" ref="C23:AM23" si="4">C18*0.3</f>
        <v>26835.903</v>
      </c>
      <c r="D23" s="26">
        <f t="shared" si="4"/>
        <v>25624.8027</v>
      </c>
      <c r="E23" s="26">
        <f t="shared" si="4"/>
        <v>24864.83278792</v>
      </c>
      <c r="F23" s="26">
        <f t="shared" si="4"/>
        <v>24117.0280059858</v>
      </c>
      <c r="G23" s="26">
        <f t="shared" si="4"/>
        <v>23379.8035720827</v>
      </c>
      <c r="H23" s="26">
        <f t="shared" si="4"/>
        <v>22651.4282540911</v>
      </c>
      <c r="I23" s="26">
        <f t="shared" si="4"/>
        <v>21930</v>
      </c>
      <c r="J23" s="26">
        <f t="shared" si="4"/>
        <v>21642.4232804077</v>
      </c>
      <c r="K23" s="26">
        <f t="shared" si="4"/>
        <v>21352.0965871288</v>
      </c>
      <c r="L23" s="26">
        <f t="shared" si="4"/>
        <v>21058.5471635036</v>
      </c>
      <c r="M23" s="26">
        <f t="shared" si="4"/>
        <v>20761.2623874584</v>
      </c>
      <c r="N23" s="26">
        <f t="shared" si="4"/>
        <v>20459.6862</v>
      </c>
      <c r="O23" s="26">
        <f t="shared" si="4"/>
        <v>19708.1629528335</v>
      </c>
      <c r="P23" s="26">
        <f t="shared" si="4"/>
        <v>18959.6405550749</v>
      </c>
      <c r="Q23" s="26">
        <f t="shared" si="4"/>
        <v>18213.3515643096</v>
      </c>
      <c r="R23" s="26">
        <f t="shared" si="4"/>
        <v>17468.5113494225</v>
      </c>
      <c r="S23" s="26">
        <f t="shared" si="4"/>
        <v>16724.3167601573</v>
      </c>
      <c r="T23" s="26">
        <f t="shared" si="4"/>
        <v>16109.0994479418</v>
      </c>
      <c r="U23" s="26">
        <f t="shared" si="4"/>
        <v>15484.3896628594</v>
      </c>
      <c r="V23" s="26">
        <f t="shared" si="4"/>
        <v>14849.2916057302</v>
      </c>
      <c r="W23" s="26">
        <f t="shared" si="4"/>
        <v>14202.8664327577</v>
      </c>
      <c r="X23" s="26">
        <f t="shared" si="4"/>
        <v>13544.1298023524</v>
      </c>
      <c r="Y23" s="26">
        <f t="shared" si="4"/>
        <v>12872.0492886871</v>
      </c>
      <c r="Z23" s="26">
        <f t="shared" si="4"/>
        <v>12185.5416546289</v>
      </c>
      <c r="AA23" s="26">
        <f t="shared" si="4"/>
        <v>11483.4699762862</v>
      </c>
      <c r="AB23" s="26">
        <f t="shared" si="4"/>
        <v>10764.6406109798</v>
      </c>
      <c r="AC23" s="26">
        <f t="shared" si="4"/>
        <v>10027.8</v>
      </c>
      <c r="AD23" s="26">
        <f t="shared" si="4"/>
        <v>9559.24531511452</v>
      </c>
      <c r="AE23" s="26">
        <f t="shared" si="4"/>
        <v>9091.87976080787</v>
      </c>
      <c r="AF23" s="26">
        <f t="shared" si="4"/>
        <v>8625.55714947878</v>
      </c>
      <c r="AG23" s="26">
        <f t="shared" si="4"/>
        <v>8160.13103062353</v>
      </c>
      <c r="AH23" s="26">
        <f t="shared" si="4"/>
        <v>7695.45464226594</v>
      </c>
      <c r="AI23" s="26">
        <f t="shared" si="4"/>
        <v>7231.38086208355</v>
      </c>
      <c r="AJ23" s="26">
        <f t="shared" si="4"/>
        <v>6767.76215821264</v>
      </c>
      <c r="AK23" s="26">
        <f t="shared" si="4"/>
        <v>6304.45053971477</v>
      </c>
      <c r="AL23" s="26">
        <f t="shared" si="4"/>
        <v>5841.29750668728</v>
      </c>
      <c r="AM23" s="26">
        <f t="shared" si="4"/>
        <v>5378.154</v>
      </c>
      <c r="AP23" s="7" t="s">
        <v>146</v>
      </c>
      <c r="AQ23" s="37" t="s">
        <v>147</v>
      </c>
    </row>
    <row r="24" spans="1:39">
      <c r="A24" s="6" t="s">
        <v>148</v>
      </c>
      <c r="B24" s="12" t="s">
        <v>145</v>
      </c>
      <c r="C24" s="26">
        <f t="shared" ref="C24:AM24" si="5">(C18-C23/1.1)*1.053*1.65</f>
        <v>113032.823436</v>
      </c>
      <c r="D24" s="26">
        <f t="shared" si="5"/>
        <v>107931.6689724</v>
      </c>
      <c r="E24" s="26">
        <f t="shared" si="5"/>
        <v>104730.675702719</v>
      </c>
      <c r="F24" s="26">
        <f t="shared" si="5"/>
        <v>101580.921961212</v>
      </c>
      <c r="G24" s="26">
        <f t="shared" si="5"/>
        <v>98475.7326456123</v>
      </c>
      <c r="H24" s="26">
        <f t="shared" si="5"/>
        <v>95407.8158062319</v>
      </c>
      <c r="I24" s="26">
        <f t="shared" si="5"/>
        <v>92369.16</v>
      </c>
      <c r="J24" s="26">
        <f t="shared" si="5"/>
        <v>91157.8868570772</v>
      </c>
      <c r="K24" s="26">
        <f t="shared" si="5"/>
        <v>89935.0308249867</v>
      </c>
      <c r="L24" s="26">
        <f t="shared" si="5"/>
        <v>88698.6006526774</v>
      </c>
      <c r="M24" s="26">
        <f t="shared" si="5"/>
        <v>87446.4371759748</v>
      </c>
      <c r="N24" s="26">
        <f t="shared" si="5"/>
        <v>86176.1982744</v>
      </c>
      <c r="O24" s="26">
        <f t="shared" si="5"/>
        <v>83010.7823573346</v>
      </c>
      <c r="P24" s="26">
        <f t="shared" si="5"/>
        <v>79858.0060179753</v>
      </c>
      <c r="Q24" s="26">
        <f t="shared" si="5"/>
        <v>76714.6367888721</v>
      </c>
      <c r="R24" s="26">
        <f t="shared" si="5"/>
        <v>73577.3698037674</v>
      </c>
      <c r="S24" s="26">
        <f t="shared" si="5"/>
        <v>70442.8221937825</v>
      </c>
      <c r="T24" s="26">
        <f t="shared" si="5"/>
        <v>67851.5268747308</v>
      </c>
      <c r="U24" s="26">
        <f t="shared" si="5"/>
        <v>65220.2492599638</v>
      </c>
      <c r="V24" s="26">
        <f t="shared" si="5"/>
        <v>62545.2162433355</v>
      </c>
      <c r="W24" s="26">
        <f t="shared" si="5"/>
        <v>59822.4734147756</v>
      </c>
      <c r="X24" s="26">
        <f t="shared" si="5"/>
        <v>57047.8747275085</v>
      </c>
      <c r="Y24" s="26">
        <f t="shared" si="5"/>
        <v>54217.0716039499</v>
      </c>
      <c r="Z24" s="26">
        <f t="shared" si="5"/>
        <v>51325.501449297</v>
      </c>
      <c r="AA24" s="26">
        <f t="shared" si="5"/>
        <v>48368.3755401174</v>
      </c>
      <c r="AB24" s="26">
        <f t="shared" si="5"/>
        <v>45340.6662534468</v>
      </c>
      <c r="AC24" s="26">
        <f t="shared" si="5"/>
        <v>42237.0936</v>
      </c>
      <c r="AD24" s="26">
        <f t="shared" si="5"/>
        <v>40263.5412672624</v>
      </c>
      <c r="AE24" s="26">
        <f t="shared" si="5"/>
        <v>38294.9975525227</v>
      </c>
      <c r="AF24" s="26">
        <f t="shared" si="5"/>
        <v>36330.8467136046</v>
      </c>
      <c r="AG24" s="26">
        <f t="shared" si="5"/>
        <v>34370.4719009863</v>
      </c>
      <c r="AH24" s="26">
        <f t="shared" si="5"/>
        <v>32413.2549532241</v>
      </c>
      <c r="AI24" s="26">
        <f t="shared" si="5"/>
        <v>30458.5761910959</v>
      </c>
      <c r="AJ24" s="26">
        <f t="shared" si="5"/>
        <v>28505.8142103916</v>
      </c>
      <c r="AK24" s="26">
        <f t="shared" si="5"/>
        <v>26554.3456732786</v>
      </c>
      <c r="AL24" s="26">
        <f t="shared" si="5"/>
        <v>24603.5450981668</v>
      </c>
      <c r="AM24" s="26">
        <f t="shared" si="5"/>
        <v>22652.784648</v>
      </c>
    </row>
    <row r="25" spans="1:43">
      <c r="A25" s="6" t="s">
        <v>149</v>
      </c>
      <c r="B25" s="12" t="s">
        <v>145</v>
      </c>
      <c r="C25" s="26">
        <f t="shared" ref="C25:AM25" si="6">C19*1.1</f>
        <v>11055.99</v>
      </c>
      <c r="D25" s="26">
        <f t="shared" si="6"/>
        <v>10568.91</v>
      </c>
      <c r="E25" s="26">
        <f t="shared" si="6"/>
        <v>10622.425811782</v>
      </c>
      <c r="F25" s="26">
        <f t="shared" si="6"/>
        <v>10667.1555826745</v>
      </c>
      <c r="G25" s="26">
        <f t="shared" si="6"/>
        <v>10703.4933685924</v>
      </c>
      <c r="H25" s="26">
        <f t="shared" si="6"/>
        <v>10731.819294907</v>
      </c>
      <c r="I25" s="26">
        <f t="shared" si="6"/>
        <v>10752.5</v>
      </c>
      <c r="J25" s="26">
        <f t="shared" si="6"/>
        <v>10789.1578004235</v>
      </c>
      <c r="K25" s="26">
        <f t="shared" si="6"/>
        <v>10824.3744893934</v>
      </c>
      <c r="L25" s="26">
        <f t="shared" si="6"/>
        <v>10858.1722761252</v>
      </c>
      <c r="M25" s="26">
        <f t="shared" si="6"/>
        <v>10890.5730932622</v>
      </c>
      <c r="N25" s="26">
        <f t="shared" si="6"/>
        <v>10921.5986</v>
      </c>
      <c r="O25" s="26">
        <f t="shared" si="6"/>
        <v>11449.6785907325</v>
      </c>
      <c r="P25" s="26">
        <f t="shared" si="6"/>
        <v>12003.2922498248</v>
      </c>
      <c r="Q25" s="26">
        <f t="shared" si="6"/>
        <v>12583.6741785331</v>
      </c>
      <c r="R25" s="26">
        <f t="shared" si="6"/>
        <v>13192.1186734242</v>
      </c>
      <c r="S25" s="26">
        <f t="shared" si="6"/>
        <v>13829.9826127566</v>
      </c>
      <c r="T25" s="26">
        <f t="shared" si="6"/>
        <v>14603.4210990363</v>
      </c>
      <c r="U25" s="26">
        <f t="shared" si="6"/>
        <v>15420.1139485939</v>
      </c>
      <c r="V25" s="26">
        <f t="shared" si="6"/>
        <v>16282.4801514017</v>
      </c>
      <c r="W25" s="26">
        <f t="shared" si="6"/>
        <v>17193.0739788707</v>
      </c>
      <c r="X25" s="26">
        <f t="shared" si="6"/>
        <v>18154.5925494325</v>
      </c>
      <c r="Y25" s="26">
        <f t="shared" si="6"/>
        <v>19169.8838172253</v>
      </c>
      <c r="Z25" s="26">
        <f t="shared" si="6"/>
        <v>20241.9550075445</v>
      </c>
      <c r="AA25" s="26">
        <f t="shared" si="6"/>
        <v>21373.9815240447</v>
      </c>
      <c r="AB25" s="26">
        <f t="shared" si="6"/>
        <v>22569.316354074</v>
      </c>
      <c r="AC25" s="26">
        <f t="shared" si="6"/>
        <v>23831.5</v>
      </c>
      <c r="AD25" s="26">
        <f t="shared" si="6"/>
        <v>24303.8913953662</v>
      </c>
      <c r="AE25" s="26">
        <f t="shared" si="6"/>
        <v>24785.6466004135</v>
      </c>
      <c r="AF25" s="26">
        <f t="shared" si="6"/>
        <v>25276.9512259143</v>
      </c>
      <c r="AG25" s="26">
        <f t="shared" si="6"/>
        <v>25777.9945618441</v>
      </c>
      <c r="AH25" s="26">
        <f t="shared" si="6"/>
        <v>26288.9696503115</v>
      </c>
      <c r="AI25" s="26">
        <f t="shared" si="6"/>
        <v>26810.0733599332</v>
      </c>
      <c r="AJ25" s="26">
        <f t="shared" si="6"/>
        <v>27341.5064616838</v>
      </c>
      <c r="AK25" s="26">
        <f t="shared" si="6"/>
        <v>27883.4737062487</v>
      </c>
      <c r="AL25" s="26">
        <f t="shared" si="6"/>
        <v>28436.1839029107</v>
      </c>
      <c r="AM25" s="26">
        <f t="shared" si="6"/>
        <v>28999.85</v>
      </c>
      <c r="AP25" s="20" t="s">
        <v>150</v>
      </c>
      <c r="AQ25" s="11"/>
    </row>
    <row r="26" spans="1:43">
      <c r="A26" s="6" t="s">
        <v>151</v>
      </c>
      <c r="B26" s="12" t="s">
        <v>145</v>
      </c>
      <c r="C26" s="26">
        <f t="shared" ref="C26:AM26" si="7">C20*0.5</f>
        <v>502.545</v>
      </c>
      <c r="D26" s="26">
        <f t="shared" si="7"/>
        <v>528.4455</v>
      </c>
      <c r="E26" s="26">
        <f t="shared" si="7"/>
        <v>607.667418052206</v>
      </c>
      <c r="F26" s="26">
        <f t="shared" si="7"/>
        <v>698.765891586235</v>
      </c>
      <c r="G26" s="26">
        <f t="shared" si="7"/>
        <v>803.521394662562</v>
      </c>
      <c r="H26" s="26">
        <f t="shared" si="7"/>
        <v>923.981321147226</v>
      </c>
      <c r="I26" s="26">
        <f t="shared" si="7"/>
        <v>1062.5</v>
      </c>
      <c r="J26" s="26">
        <f t="shared" si="7"/>
        <v>1157.11330981028</v>
      </c>
      <c r="K26" s="26">
        <f t="shared" si="7"/>
        <v>1260.15172869657</v>
      </c>
      <c r="L26" s="26">
        <f t="shared" si="7"/>
        <v>1372.36549426376</v>
      </c>
      <c r="M26" s="26">
        <f t="shared" si="7"/>
        <v>1494.57165114067</v>
      </c>
      <c r="N26" s="26">
        <f t="shared" si="7"/>
        <v>1627.66</v>
      </c>
      <c r="O26" s="26">
        <f t="shared" si="7"/>
        <v>1713.28848076436</v>
      </c>
      <c r="P26" s="26">
        <f t="shared" si="7"/>
        <v>1803.42173323658</v>
      </c>
      <c r="Q26" s="26">
        <f t="shared" si="7"/>
        <v>1898.29674595083</v>
      </c>
      <c r="R26" s="26">
        <f t="shared" si="7"/>
        <v>1998.16297501322</v>
      </c>
      <c r="S26" s="26">
        <f t="shared" si="7"/>
        <v>2103.283</v>
      </c>
      <c r="T26" s="26">
        <f t="shared" si="7"/>
        <v>2207.05560146561</v>
      </c>
      <c r="U26" s="26">
        <f t="shared" si="7"/>
        <v>2315.94817623721</v>
      </c>
      <c r="V26" s="26">
        <f t="shared" si="7"/>
        <v>2430.21333556559</v>
      </c>
      <c r="W26" s="26">
        <f t="shared" si="7"/>
        <v>2550.11615413449</v>
      </c>
      <c r="X26" s="26">
        <f t="shared" si="7"/>
        <v>2675.93478498636</v>
      </c>
      <c r="Y26" s="26">
        <f t="shared" si="7"/>
        <v>2807.96110478753</v>
      </c>
      <c r="Z26" s="26">
        <f t="shared" si="7"/>
        <v>2946.50139092974</v>
      </c>
      <c r="AA26" s="26">
        <f t="shared" si="7"/>
        <v>3091.87703203881</v>
      </c>
      <c r="AB26" s="26">
        <f t="shared" si="7"/>
        <v>3244.42527353862</v>
      </c>
      <c r="AC26" s="26">
        <f t="shared" si="7"/>
        <v>3404.5</v>
      </c>
      <c r="AD26" s="26">
        <f t="shared" si="7"/>
        <v>3478.2461217799</v>
      </c>
      <c r="AE26" s="26">
        <f t="shared" si="7"/>
        <v>3553.58968532145</v>
      </c>
      <c r="AF26" s="26">
        <f t="shared" si="7"/>
        <v>3630.56529339591</v>
      </c>
      <c r="AG26" s="26">
        <f t="shared" si="7"/>
        <v>3709.20829831782</v>
      </c>
      <c r="AH26" s="26">
        <f t="shared" si="7"/>
        <v>3789.55481818115</v>
      </c>
      <c r="AI26" s="26">
        <f t="shared" si="7"/>
        <v>3871.64175344718</v>
      </c>
      <c r="AJ26" s="26">
        <f t="shared" si="7"/>
        <v>3955.50680389154</v>
      </c>
      <c r="AK26" s="26">
        <f t="shared" si="7"/>
        <v>4041.18848591856</v>
      </c>
      <c r="AL26" s="26">
        <f t="shared" si="7"/>
        <v>4128.72615025049</v>
      </c>
      <c r="AM26" s="26">
        <f t="shared" si="7"/>
        <v>4218.16</v>
      </c>
      <c r="AP26" s="7" t="s">
        <v>77</v>
      </c>
      <c r="AQ26" s="37" t="s">
        <v>78</v>
      </c>
    </row>
    <row r="27" spans="1:39">
      <c r="A27" s="6" t="s">
        <v>152</v>
      </c>
      <c r="B27" s="12" t="s">
        <v>145</v>
      </c>
      <c r="C27" s="26">
        <f t="shared" ref="C27:AM27" si="8">(C20-C26/1.1)*1.053*1.65</f>
        <v>952.523793</v>
      </c>
      <c r="D27" s="26">
        <f t="shared" si="8"/>
        <v>1001.6156007</v>
      </c>
      <c r="E27" s="26">
        <f t="shared" si="8"/>
        <v>1151.77282417615</v>
      </c>
      <c r="F27" s="26">
        <f t="shared" si="8"/>
        <v>1324.44087091255</v>
      </c>
      <c r="G27" s="26">
        <f t="shared" si="8"/>
        <v>1522.99445144342</v>
      </c>
      <c r="H27" s="26">
        <f t="shared" si="8"/>
        <v>1751.31419610245</v>
      </c>
      <c r="I27" s="26">
        <f t="shared" si="8"/>
        <v>2013.8625</v>
      </c>
      <c r="J27" s="26">
        <f t="shared" si="8"/>
        <v>2193.19256741441</v>
      </c>
      <c r="K27" s="26">
        <f t="shared" si="8"/>
        <v>2388.49158657148</v>
      </c>
      <c r="L27" s="26">
        <f t="shared" si="8"/>
        <v>2601.18155782752</v>
      </c>
      <c r="M27" s="26">
        <f t="shared" si="8"/>
        <v>2832.81110757202</v>
      </c>
      <c r="N27" s="26">
        <f t="shared" si="8"/>
        <v>3085.066764</v>
      </c>
      <c r="O27" s="26">
        <f t="shared" si="8"/>
        <v>3247.36698644077</v>
      </c>
      <c r="P27" s="26">
        <f t="shared" si="8"/>
        <v>3418.20555317661</v>
      </c>
      <c r="Q27" s="26">
        <f t="shared" si="8"/>
        <v>3598.0316522752</v>
      </c>
      <c r="R27" s="26">
        <f t="shared" si="8"/>
        <v>3787.31810284006</v>
      </c>
      <c r="S27" s="26">
        <f t="shared" si="8"/>
        <v>3986.5625982</v>
      </c>
      <c r="T27" s="26">
        <f t="shared" si="8"/>
        <v>4183.25318701792</v>
      </c>
      <c r="U27" s="26">
        <f t="shared" si="8"/>
        <v>4389.64817324001</v>
      </c>
      <c r="V27" s="26">
        <f t="shared" si="8"/>
        <v>4606.22635623102</v>
      </c>
      <c r="W27" s="26">
        <f t="shared" si="8"/>
        <v>4833.49015854652</v>
      </c>
      <c r="X27" s="26">
        <f t="shared" si="8"/>
        <v>5071.96679146315</v>
      </c>
      <c r="Y27" s="26">
        <f t="shared" si="8"/>
        <v>5322.20947801428</v>
      </c>
      <c r="Z27" s="26">
        <f t="shared" si="8"/>
        <v>5584.79873636823</v>
      </c>
      <c r="AA27" s="26">
        <f t="shared" si="8"/>
        <v>5860.34372652637</v>
      </c>
      <c r="AB27" s="26">
        <f t="shared" si="8"/>
        <v>6149.4836634651</v>
      </c>
      <c r="AC27" s="26">
        <f t="shared" si="8"/>
        <v>6452.8893</v>
      </c>
      <c r="AD27" s="26">
        <f t="shared" si="8"/>
        <v>6592.66769922161</v>
      </c>
      <c r="AE27" s="26">
        <f t="shared" si="8"/>
        <v>6735.47388955827</v>
      </c>
      <c r="AF27" s="26">
        <f t="shared" si="8"/>
        <v>6881.3734571026</v>
      </c>
      <c r="AG27" s="26">
        <f t="shared" si="8"/>
        <v>7030.43340863159</v>
      </c>
      <c r="AH27" s="26">
        <f t="shared" si="8"/>
        <v>7182.72220238056</v>
      </c>
      <c r="AI27" s="26">
        <f t="shared" si="8"/>
        <v>7338.30977948378</v>
      </c>
      <c r="AJ27" s="26">
        <f t="shared" si="8"/>
        <v>7497.26759609603</v>
      </c>
      <c r="AK27" s="26">
        <f t="shared" si="8"/>
        <v>7659.66865621004</v>
      </c>
      <c r="AL27" s="26">
        <f t="shared" si="8"/>
        <v>7825.58754518478</v>
      </c>
      <c r="AM27" s="26">
        <f t="shared" si="8"/>
        <v>7995.100464</v>
      </c>
    </row>
    <row r="28" spans="1:43">
      <c r="A28" s="8" t="s">
        <v>153</v>
      </c>
      <c r="B28" s="12" t="s">
        <v>145</v>
      </c>
      <c r="C28" s="28">
        <f t="shared" ref="C28:AM28" si="9">C23+C25+C26</f>
        <v>38394.438</v>
      </c>
      <c r="D28" s="28">
        <f t="shared" si="9"/>
        <v>36722.1582</v>
      </c>
      <c r="E28" s="28">
        <f t="shared" si="9"/>
        <v>36094.9260177542</v>
      </c>
      <c r="F28" s="28">
        <f t="shared" si="9"/>
        <v>35482.9494802466</v>
      </c>
      <c r="G28" s="28">
        <f t="shared" si="9"/>
        <v>34886.8183353376</v>
      </c>
      <c r="H28" s="28">
        <f t="shared" si="9"/>
        <v>34307.2288701454</v>
      </c>
      <c r="I28" s="28">
        <f t="shared" si="9"/>
        <v>33745</v>
      </c>
      <c r="J28" s="28">
        <f t="shared" si="9"/>
        <v>33588.6943906415</v>
      </c>
      <c r="K28" s="28">
        <f t="shared" si="9"/>
        <v>33436.6228052188</v>
      </c>
      <c r="L28" s="28">
        <f t="shared" si="9"/>
        <v>33289.0849338926</v>
      </c>
      <c r="M28" s="28">
        <f t="shared" si="9"/>
        <v>33146.4071318613</v>
      </c>
      <c r="N28" s="28">
        <f t="shared" si="9"/>
        <v>33008.9448</v>
      </c>
      <c r="O28" s="28">
        <f t="shared" si="9"/>
        <v>32871.1300243303</v>
      </c>
      <c r="P28" s="28">
        <f t="shared" si="9"/>
        <v>32766.3545381362</v>
      </c>
      <c r="Q28" s="28">
        <f t="shared" si="9"/>
        <v>32695.3224887936</v>
      </c>
      <c r="R28" s="28">
        <f t="shared" si="9"/>
        <v>32658.7929978599</v>
      </c>
      <c r="S28" s="28">
        <f t="shared" si="9"/>
        <v>32657.5823729139</v>
      </c>
      <c r="T28" s="28">
        <f t="shared" si="9"/>
        <v>32919.5761484437</v>
      </c>
      <c r="U28" s="28">
        <f t="shared" si="9"/>
        <v>33220.4517876905</v>
      </c>
      <c r="V28" s="28">
        <f t="shared" si="9"/>
        <v>33561.9850926974</v>
      </c>
      <c r="W28" s="28">
        <f t="shared" si="9"/>
        <v>33946.0565657629</v>
      </c>
      <c r="X28" s="28">
        <f t="shared" si="9"/>
        <v>34374.6571367713</v>
      </c>
      <c r="Y28" s="28">
        <f t="shared" si="9"/>
        <v>34849.8942106999</v>
      </c>
      <c r="Z28" s="28">
        <f t="shared" si="9"/>
        <v>35373.9980531032</v>
      </c>
      <c r="AA28" s="28">
        <f t="shared" si="9"/>
        <v>35949.3285323697</v>
      </c>
      <c r="AB28" s="28">
        <f t="shared" si="9"/>
        <v>36578.3822385924</v>
      </c>
      <c r="AC28" s="28">
        <f t="shared" si="9"/>
        <v>37263.8</v>
      </c>
      <c r="AD28" s="28">
        <f t="shared" si="9"/>
        <v>37341.3828322606</v>
      </c>
      <c r="AE28" s="28">
        <f t="shared" si="9"/>
        <v>37431.1160465428</v>
      </c>
      <c r="AF28" s="28">
        <f t="shared" si="9"/>
        <v>37533.073668789</v>
      </c>
      <c r="AG28" s="28">
        <f t="shared" si="9"/>
        <v>37647.3338907855</v>
      </c>
      <c r="AH28" s="28">
        <f t="shared" si="9"/>
        <v>37773.9791107586</v>
      </c>
      <c r="AI28" s="28">
        <f t="shared" si="9"/>
        <v>37913.0959754639</v>
      </c>
      <c r="AJ28" s="28">
        <f t="shared" si="9"/>
        <v>38064.775423788</v>
      </c>
      <c r="AK28" s="28">
        <f t="shared" si="9"/>
        <v>38229.112731882</v>
      </c>
      <c r="AL28" s="28">
        <f t="shared" si="9"/>
        <v>38406.2075598484</v>
      </c>
      <c r="AM28" s="28">
        <f t="shared" si="9"/>
        <v>38596.164</v>
      </c>
      <c r="AP28" s="7" t="s">
        <v>79</v>
      </c>
      <c r="AQ28" s="37" t="s">
        <v>80</v>
      </c>
    </row>
    <row r="29" spans="1:43">
      <c r="A29" s="8" t="s">
        <v>154</v>
      </c>
      <c r="B29" s="12" t="s">
        <v>145</v>
      </c>
      <c r="C29" s="28">
        <f t="shared" ref="C29:AM29" si="10">C24+C27</f>
        <v>113985.347229</v>
      </c>
      <c r="D29" s="28">
        <f t="shared" si="10"/>
        <v>108933.2845731</v>
      </c>
      <c r="E29" s="28">
        <f t="shared" si="10"/>
        <v>105882.448526895</v>
      </c>
      <c r="F29" s="28">
        <f t="shared" si="10"/>
        <v>102905.362832125</v>
      </c>
      <c r="G29" s="28">
        <f t="shared" si="10"/>
        <v>99998.7270970557</v>
      </c>
      <c r="H29" s="28">
        <f t="shared" si="10"/>
        <v>97159.1300023343</v>
      </c>
      <c r="I29" s="28">
        <f t="shared" si="10"/>
        <v>94383.0225</v>
      </c>
      <c r="J29" s="28">
        <f t="shared" si="10"/>
        <v>93351.0794244916</v>
      </c>
      <c r="K29" s="28">
        <f t="shared" si="10"/>
        <v>92323.5224115582</v>
      </c>
      <c r="L29" s="28">
        <f t="shared" si="10"/>
        <v>91299.7822105049</v>
      </c>
      <c r="M29" s="28">
        <f t="shared" si="10"/>
        <v>90279.2482835469</v>
      </c>
      <c r="N29" s="28">
        <f t="shared" si="10"/>
        <v>89261.2650384</v>
      </c>
      <c r="O29" s="28">
        <f t="shared" si="10"/>
        <v>86258.1493437754</v>
      </c>
      <c r="P29" s="28">
        <f t="shared" si="10"/>
        <v>83276.2115711519</v>
      </c>
      <c r="Q29" s="28">
        <f t="shared" si="10"/>
        <v>80312.6684411473</v>
      </c>
      <c r="R29" s="28">
        <f t="shared" si="10"/>
        <v>77364.6879066075</v>
      </c>
      <c r="S29" s="28">
        <f t="shared" si="10"/>
        <v>74429.3847919825</v>
      </c>
      <c r="T29" s="28">
        <f t="shared" si="10"/>
        <v>72034.7800617488</v>
      </c>
      <c r="U29" s="28">
        <f t="shared" si="10"/>
        <v>69609.8974332038</v>
      </c>
      <c r="V29" s="28">
        <f t="shared" si="10"/>
        <v>67151.4425995665</v>
      </c>
      <c r="W29" s="28">
        <f t="shared" si="10"/>
        <v>64655.9635733221</v>
      </c>
      <c r="X29" s="28">
        <f t="shared" si="10"/>
        <v>62119.8415189716</v>
      </c>
      <c r="Y29" s="28">
        <f t="shared" si="10"/>
        <v>59539.2810819642</v>
      </c>
      <c r="Z29" s="28">
        <f t="shared" si="10"/>
        <v>56910.3001856652</v>
      </c>
      <c r="AA29" s="28">
        <f t="shared" si="10"/>
        <v>54228.7192666438</v>
      </c>
      <c r="AB29" s="28">
        <f t="shared" si="10"/>
        <v>51490.1499169119</v>
      </c>
      <c r="AC29" s="28">
        <f t="shared" si="10"/>
        <v>48689.9829</v>
      </c>
      <c r="AD29" s="28">
        <f t="shared" si="10"/>
        <v>46856.208966484</v>
      </c>
      <c r="AE29" s="28">
        <f t="shared" si="10"/>
        <v>45030.471442081</v>
      </c>
      <c r="AF29" s="28">
        <f t="shared" si="10"/>
        <v>43212.2201707072</v>
      </c>
      <c r="AG29" s="28">
        <f t="shared" si="10"/>
        <v>41400.9053096179</v>
      </c>
      <c r="AH29" s="28">
        <f t="shared" si="10"/>
        <v>39595.9771556047</v>
      </c>
      <c r="AI29" s="28">
        <f t="shared" si="10"/>
        <v>37796.8859705797</v>
      </c>
      <c r="AJ29" s="28">
        <f t="shared" si="10"/>
        <v>36003.0818064877</v>
      </c>
      <c r="AK29" s="28">
        <f t="shared" si="10"/>
        <v>34214.0143294887</v>
      </c>
      <c r="AL29" s="28">
        <f t="shared" si="10"/>
        <v>32429.1326433516</v>
      </c>
      <c r="AM29" s="28">
        <f t="shared" si="10"/>
        <v>30647.885112</v>
      </c>
      <c r="AP29" s="7" t="s">
        <v>81</v>
      </c>
      <c r="AQ29" s="37" t="s">
        <v>82</v>
      </c>
    </row>
    <row r="30" ht="17.6" spans="1:43">
      <c r="A30" s="3" t="s">
        <v>155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P30" s="7" t="s">
        <v>83</v>
      </c>
      <c r="AQ30" s="37" t="s">
        <v>84</v>
      </c>
    </row>
    <row r="31" spans="1:39">
      <c r="A31" s="6" t="s">
        <v>156</v>
      </c>
      <c r="B31" s="12" t="s">
        <v>157</v>
      </c>
      <c r="C31" s="26">
        <f t="shared" ref="C31:AM31" si="11">C18*450+C19*550+C20*500</f>
        <v>46284394.5</v>
      </c>
      <c r="D31" s="26">
        <f t="shared" si="11"/>
        <v>44250104.55</v>
      </c>
      <c r="E31" s="26">
        <f t="shared" si="11"/>
        <v>43216129.5058232</v>
      </c>
      <c r="F31" s="26">
        <f t="shared" si="11"/>
        <v>42207885.6919022</v>
      </c>
      <c r="G31" s="26">
        <f t="shared" si="11"/>
        <v>41224973.4370828</v>
      </c>
      <c r="H31" s="26">
        <f t="shared" si="11"/>
        <v>40267033.3497374</v>
      </c>
      <c r="I31" s="26">
        <f t="shared" si="11"/>
        <v>39333750</v>
      </c>
      <c r="J31" s="26">
        <f t="shared" si="11"/>
        <v>39015327.1306336</v>
      </c>
      <c r="K31" s="26">
        <f t="shared" si="11"/>
        <v>38700483.8540865</v>
      </c>
      <c r="L31" s="26">
        <f t="shared" si="11"/>
        <v>38389272.3775818</v>
      </c>
      <c r="M31" s="26">
        <f t="shared" si="11"/>
        <v>38081751.7789594</v>
      </c>
      <c r="N31" s="26">
        <f t="shared" si="11"/>
        <v>37777988.6</v>
      </c>
      <c r="O31" s="26">
        <f t="shared" si="11"/>
        <v>37000372.2053808</v>
      </c>
      <c r="P31" s="26">
        <f t="shared" si="11"/>
        <v>36244528.6907613</v>
      </c>
      <c r="Q31" s="26">
        <f t="shared" si="11"/>
        <v>35510161.1816818</v>
      </c>
      <c r="R31" s="26">
        <f t="shared" si="11"/>
        <v>34796989.335859</v>
      </c>
      <c r="S31" s="26">
        <f t="shared" si="11"/>
        <v>34104749.4466142</v>
      </c>
      <c r="T31" s="26">
        <f t="shared" si="11"/>
        <v>33672415.3228965</v>
      </c>
      <c r="U31" s="26">
        <f t="shared" si="11"/>
        <v>33252589.6448232</v>
      </c>
      <c r="V31" s="26">
        <f t="shared" si="11"/>
        <v>32845390.8198617</v>
      </c>
      <c r="W31" s="26">
        <f t="shared" si="11"/>
        <v>32450952.7927064</v>
      </c>
      <c r="X31" s="26">
        <f t="shared" si="11"/>
        <v>32069425.7632313</v>
      </c>
      <c r="Y31" s="26">
        <f t="shared" si="11"/>
        <v>31700976.9464308</v>
      </c>
      <c r="Z31" s="26">
        <f t="shared" si="11"/>
        <v>31345791.3766454</v>
      </c>
      <c r="AA31" s="26">
        <f t="shared" si="11"/>
        <v>31004072.7584904</v>
      </c>
      <c r="AB31" s="26">
        <f t="shared" si="11"/>
        <v>30676044.3670453</v>
      </c>
      <c r="AC31" s="26">
        <f t="shared" si="11"/>
        <v>30361950</v>
      </c>
      <c r="AD31" s="26">
        <f t="shared" si="11"/>
        <v>29969059.7921348</v>
      </c>
      <c r="AE31" s="26">
        <f t="shared" si="11"/>
        <v>29584232.62674</v>
      </c>
      <c r="AF31" s="26">
        <f t="shared" si="11"/>
        <v>29207376.6305712</v>
      </c>
      <c r="AG31" s="26">
        <f t="shared" si="11"/>
        <v>28838402.1251752</v>
      </c>
      <c r="AH31" s="26">
        <f t="shared" si="11"/>
        <v>28477221.6067358</v>
      </c>
      <c r="AI31" s="26">
        <f t="shared" si="11"/>
        <v>28123749.7265391</v>
      </c>
      <c r="AJ31" s="26">
        <f t="shared" si="11"/>
        <v>27777903.2720524</v>
      </c>
      <c r="AK31" s="26">
        <f t="shared" si="11"/>
        <v>27439601.1486151</v>
      </c>
      <c r="AL31" s="26">
        <f t="shared" si="11"/>
        <v>27108764.3617367</v>
      </c>
      <c r="AM31" s="26">
        <f t="shared" si="11"/>
        <v>26785316</v>
      </c>
    </row>
    <row r="32" spans="1:39">
      <c r="A32" s="6" t="s">
        <v>158</v>
      </c>
      <c r="B32" s="12" t="s">
        <v>157</v>
      </c>
      <c r="C32" s="29">
        <v>0</v>
      </c>
      <c r="D32" s="29">
        <v>0.05</v>
      </c>
      <c r="E32" s="29">
        <v>0.0737886580797276</v>
      </c>
      <c r="F32" s="29">
        <v>0.108895321224139</v>
      </c>
      <c r="G32" s="29">
        <v>0.160704792485802</v>
      </c>
      <c r="H32" s="29">
        <v>0.237163819690168</v>
      </c>
      <c r="I32" s="29">
        <v>0.35</v>
      </c>
      <c r="J32" s="29">
        <v>0.383113074478105</v>
      </c>
      <c r="K32" s="29">
        <v>0.419358936674475</v>
      </c>
      <c r="L32" s="29">
        <v>0.459033975826363</v>
      </c>
      <c r="M32" s="29">
        <v>0.502462622196417</v>
      </c>
      <c r="N32" s="29">
        <v>0.55</v>
      </c>
      <c r="O32" s="29">
        <v>0.577177987564521</v>
      </c>
      <c r="P32" s="29">
        <v>0.605698962416419</v>
      </c>
      <c r="Q32" s="29">
        <v>0.635629287631686</v>
      </c>
      <c r="R32" s="29">
        <v>0.667038605586049</v>
      </c>
      <c r="S32" s="29">
        <v>0.7</v>
      </c>
      <c r="T32" s="29">
        <v>0.713723717009391</v>
      </c>
      <c r="U32" s="29">
        <v>0.727716491745287</v>
      </c>
      <c r="V32" s="29">
        <v>0.741983599167828</v>
      </c>
      <c r="W32" s="29">
        <v>0.756530417654383</v>
      </c>
      <c r="X32" s="29">
        <v>0.771362431027076</v>
      </c>
      <c r="Y32" s="29">
        <v>0.786485230620063</v>
      </c>
      <c r="Z32" s="29">
        <v>0.801904517387342</v>
      </c>
      <c r="AA32" s="29">
        <v>0.817626104051879</v>
      </c>
      <c r="AB32" s="29">
        <v>0.833655917296877</v>
      </c>
      <c r="AC32" s="29">
        <v>0.85</v>
      </c>
      <c r="AD32" s="29">
        <v>0.859506951812361</v>
      </c>
      <c r="AE32" s="29">
        <v>0.869120235545619</v>
      </c>
      <c r="AF32" s="29">
        <v>0.878841040485007</v>
      </c>
      <c r="AG32" s="29">
        <v>0.888670569217497</v>
      </c>
      <c r="AH32" s="29">
        <v>0.898610037780572</v>
      </c>
      <c r="AI32" s="29">
        <v>0.90866067581267</v>
      </c>
      <c r="AJ32" s="29">
        <v>0.918823726705304</v>
      </c>
      <c r="AK32" s="29">
        <v>0.929100447756882</v>
      </c>
      <c r="AL32" s="29">
        <v>0.939492110328255</v>
      </c>
      <c r="AM32" s="29">
        <v>0.950000000000001</v>
      </c>
    </row>
    <row r="33" spans="1:39">
      <c r="A33" s="6" t="s">
        <v>159</v>
      </c>
      <c r="B33" s="12" t="s">
        <v>157</v>
      </c>
      <c r="C33" s="26">
        <f t="shared" ref="C33:AM33" si="12">C31*C32</f>
        <v>0</v>
      </c>
      <c r="D33" s="26">
        <f t="shared" si="12"/>
        <v>2212505.2275</v>
      </c>
      <c r="E33" s="26">
        <f t="shared" si="12"/>
        <v>3188860.20363441</v>
      </c>
      <c r="F33" s="26">
        <f t="shared" si="12"/>
        <v>4596241.27061143</v>
      </c>
      <c r="G33" s="26">
        <f t="shared" si="12"/>
        <v>6625050.80143908</v>
      </c>
      <c r="H33" s="26">
        <f t="shared" si="12"/>
        <v>9549883.43681513</v>
      </c>
      <c r="I33" s="26">
        <f t="shared" si="12"/>
        <v>13766812.5</v>
      </c>
      <c r="J33" s="26">
        <f t="shared" si="12"/>
        <v>14947281.9287861</v>
      </c>
      <c r="K33" s="26">
        <f t="shared" si="12"/>
        <v>16229393.7578374</v>
      </c>
      <c r="L33" s="26">
        <f t="shared" si="12"/>
        <v>17621980.3285626</v>
      </c>
      <c r="M33" s="26">
        <f t="shared" si="12"/>
        <v>19134656.856689</v>
      </c>
      <c r="N33" s="26">
        <f t="shared" si="12"/>
        <v>20777893.73</v>
      </c>
      <c r="O33" s="26">
        <f t="shared" si="12"/>
        <v>21355800.3686399</v>
      </c>
      <c r="P33" s="26">
        <f t="shared" si="12"/>
        <v>21953273.4212662</v>
      </c>
      <c r="Q33" s="26">
        <f t="shared" si="12"/>
        <v>22571298.4555988</v>
      </c>
      <c r="R33" s="26">
        <f t="shared" si="12"/>
        <v>23210935.245184</v>
      </c>
      <c r="S33" s="26">
        <f t="shared" si="12"/>
        <v>23873324.61263</v>
      </c>
      <c r="T33" s="26">
        <f t="shared" si="12"/>
        <v>24032801.4249416</v>
      </c>
      <c r="U33" s="26">
        <f t="shared" si="12"/>
        <v>24198457.8777764</v>
      </c>
      <c r="V33" s="26">
        <f t="shared" si="12"/>
        <v>24370741.2965949</v>
      </c>
      <c r="W33" s="26">
        <f t="shared" si="12"/>
        <v>24550132.8695489</v>
      </c>
      <c r="X33" s="26">
        <f t="shared" si="12"/>
        <v>24737150.2183684</v>
      </c>
      <c r="Y33" s="26">
        <f t="shared" si="12"/>
        <v>24932350.1645949</v>
      </c>
      <c r="Z33" s="26">
        <f t="shared" si="12"/>
        <v>25136331.7060131</v>
      </c>
      <c r="AA33" s="26">
        <f t="shared" si="12"/>
        <v>25349739.2192655</v>
      </c>
      <c r="AB33" s="26">
        <f t="shared" si="12"/>
        <v>25573265.9058488</v>
      </c>
      <c r="AC33" s="26">
        <f t="shared" si="12"/>
        <v>25807657.5</v>
      </c>
      <c r="AD33" s="26">
        <f t="shared" si="12"/>
        <v>25758615.2306201</v>
      </c>
      <c r="AE33" s="26">
        <f t="shared" si="12"/>
        <v>25712255.2289886</v>
      </c>
      <c r="AF33" s="26">
        <f t="shared" si="12"/>
        <v>25668641.2678487</v>
      </c>
      <c r="AG33" s="26">
        <f t="shared" si="12"/>
        <v>25627839.2319025</v>
      </c>
      <c r="AH33" s="26">
        <f t="shared" si="12"/>
        <v>25589917.1839146</v>
      </c>
      <c r="AI33" s="26">
        <f t="shared" si="12"/>
        <v>25554945.4329034</v>
      </c>
      <c r="AJ33" s="26">
        <f t="shared" si="12"/>
        <v>25522996.6044866</v>
      </c>
      <c r="AK33" s="26">
        <f t="shared" si="12"/>
        <v>25494145.7134485</v>
      </c>
      <c r="AL33" s="26">
        <f t="shared" si="12"/>
        <v>25468470.2385994</v>
      </c>
      <c r="AM33" s="26">
        <f t="shared" si="12"/>
        <v>25446050.2</v>
      </c>
    </row>
    <row r="34" ht="17.6" spans="1:39">
      <c r="A34" s="3" t="s">
        <v>160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46" spans="1:39">
      <c r="A35" s="20" t="s">
        <v>161</v>
      </c>
      <c r="B35" s="12" t="s">
        <v>162</v>
      </c>
      <c r="C35" s="30" t="s">
        <v>163</v>
      </c>
      <c r="D35" s="30" t="s">
        <v>164</v>
      </c>
      <c r="E35" s="30" t="s">
        <v>165</v>
      </c>
      <c r="F35" s="30" t="s">
        <v>166</v>
      </c>
      <c r="G35" s="30" t="s">
        <v>167</v>
      </c>
      <c r="H35" s="30" t="s">
        <v>168</v>
      </c>
      <c r="I35" s="30" t="s">
        <v>166</v>
      </c>
      <c r="J35" s="30" t="s">
        <v>169</v>
      </c>
      <c r="K35" s="30" t="s">
        <v>170</v>
      </c>
      <c r="L35" s="30" t="s">
        <v>171</v>
      </c>
      <c r="M35" s="30" t="s">
        <v>172</v>
      </c>
      <c r="N35" s="30" t="s">
        <v>173</v>
      </c>
      <c r="O35" s="30" t="s">
        <v>174</v>
      </c>
      <c r="P35" s="30" t="s">
        <v>175</v>
      </c>
      <c r="Q35" s="30" t="s">
        <v>166</v>
      </c>
      <c r="R35" s="30" t="s">
        <v>166</v>
      </c>
      <c r="S35" s="30" t="s">
        <v>166</v>
      </c>
      <c r="T35" s="30" t="s">
        <v>166</v>
      </c>
      <c r="U35" s="30" t="s">
        <v>166</v>
      </c>
      <c r="V35" s="30" t="s">
        <v>176</v>
      </c>
      <c r="W35" s="30" t="s">
        <v>166</v>
      </c>
      <c r="X35" s="30" t="s">
        <v>166</v>
      </c>
      <c r="Y35" s="30" t="s">
        <v>166</v>
      </c>
      <c r="Z35" s="30" t="s">
        <v>177</v>
      </c>
      <c r="AA35" s="30" t="s">
        <v>166</v>
      </c>
      <c r="AB35" s="30" t="s">
        <v>166</v>
      </c>
      <c r="AC35" s="30" t="s">
        <v>166</v>
      </c>
      <c r="AD35" s="30" t="s">
        <v>166</v>
      </c>
      <c r="AE35" s="30" t="s">
        <v>166</v>
      </c>
      <c r="AF35" s="30" t="s">
        <v>166</v>
      </c>
      <c r="AG35" s="30" t="s">
        <v>166</v>
      </c>
      <c r="AH35" s="30" t="s">
        <v>166</v>
      </c>
      <c r="AI35" s="30" t="s">
        <v>166</v>
      </c>
      <c r="AJ35" s="30" t="s">
        <v>166</v>
      </c>
      <c r="AK35" s="30" t="s">
        <v>166</v>
      </c>
      <c r="AL35" s="30" t="s">
        <v>166</v>
      </c>
      <c r="AM35" s="30" t="s">
        <v>166</v>
      </c>
    </row>
    <row r="36" spans="1:39">
      <c r="A36" s="6" t="s">
        <v>178</v>
      </c>
      <c r="B36" s="12" t="s">
        <v>179</v>
      </c>
      <c r="C36" s="31">
        <v>0</v>
      </c>
      <c r="D36" s="31">
        <v>0.06</v>
      </c>
      <c r="E36" s="31">
        <v>0.00750000000000001</v>
      </c>
      <c r="F36" s="31">
        <v>0</v>
      </c>
      <c r="G36" s="31">
        <v>0.029</v>
      </c>
      <c r="H36" s="31">
        <v>0.023</v>
      </c>
      <c r="I36" s="31">
        <v>0</v>
      </c>
      <c r="J36" s="31">
        <v>0.00459999999999999</v>
      </c>
      <c r="K36" s="31">
        <v>0.0625</v>
      </c>
      <c r="L36" s="31">
        <v>0.002</v>
      </c>
      <c r="M36" s="31">
        <v>0.003</v>
      </c>
      <c r="N36" s="31">
        <v>0.037</v>
      </c>
      <c r="O36" s="31">
        <v>0.024</v>
      </c>
      <c r="P36" s="31">
        <v>0.00700000000000001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0.013</v>
      </c>
      <c r="W36" s="31">
        <v>0</v>
      </c>
      <c r="X36" s="31">
        <v>0</v>
      </c>
      <c r="Y36" s="31">
        <v>0</v>
      </c>
      <c r="Z36" s="31">
        <v>0.106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</row>
    <row r="37" spans="1:39">
      <c r="A37" s="8" t="s">
        <v>180</v>
      </c>
      <c r="B37" s="12" t="e">
        <f>上年累计+当年新增</f>
        <v>#NAME?</v>
      </c>
      <c r="C37" s="32">
        <f>C36</f>
        <v>0</v>
      </c>
      <c r="D37" s="32">
        <f t="shared" ref="D37:AM37" si="13">C37+D36</f>
        <v>0.06</v>
      </c>
      <c r="E37" s="32">
        <f t="shared" si="13"/>
        <v>0.0675</v>
      </c>
      <c r="F37" s="32">
        <f t="shared" si="13"/>
        <v>0.0675</v>
      </c>
      <c r="G37" s="32">
        <f t="shared" si="13"/>
        <v>0.0965</v>
      </c>
      <c r="H37" s="32">
        <f t="shared" si="13"/>
        <v>0.1195</v>
      </c>
      <c r="I37" s="32">
        <f t="shared" si="13"/>
        <v>0.1195</v>
      </c>
      <c r="J37" s="32">
        <f t="shared" si="13"/>
        <v>0.1241</v>
      </c>
      <c r="K37" s="32">
        <f t="shared" si="13"/>
        <v>0.1866</v>
      </c>
      <c r="L37" s="32">
        <f t="shared" si="13"/>
        <v>0.1886</v>
      </c>
      <c r="M37" s="32">
        <f t="shared" si="13"/>
        <v>0.1916</v>
      </c>
      <c r="N37" s="32">
        <f t="shared" si="13"/>
        <v>0.2286</v>
      </c>
      <c r="O37" s="32">
        <f t="shared" si="13"/>
        <v>0.2526</v>
      </c>
      <c r="P37" s="32">
        <f t="shared" si="13"/>
        <v>0.2596</v>
      </c>
      <c r="Q37" s="32">
        <f t="shared" si="13"/>
        <v>0.2596</v>
      </c>
      <c r="R37" s="32">
        <f t="shared" si="13"/>
        <v>0.2596</v>
      </c>
      <c r="S37" s="32">
        <f t="shared" si="13"/>
        <v>0.2596</v>
      </c>
      <c r="T37" s="32">
        <f t="shared" si="13"/>
        <v>0.2596</v>
      </c>
      <c r="U37" s="32">
        <f t="shared" si="13"/>
        <v>0.2596</v>
      </c>
      <c r="V37" s="32">
        <f t="shared" si="13"/>
        <v>0.2726</v>
      </c>
      <c r="W37" s="32">
        <f t="shared" si="13"/>
        <v>0.2726</v>
      </c>
      <c r="X37" s="32">
        <f t="shared" si="13"/>
        <v>0.2726</v>
      </c>
      <c r="Y37" s="32">
        <f t="shared" si="13"/>
        <v>0.2726</v>
      </c>
      <c r="Z37" s="32">
        <f t="shared" si="13"/>
        <v>0.3786</v>
      </c>
      <c r="AA37" s="32">
        <f t="shared" si="13"/>
        <v>0.3786</v>
      </c>
      <c r="AB37" s="32">
        <f t="shared" si="13"/>
        <v>0.3786</v>
      </c>
      <c r="AC37" s="32">
        <f t="shared" si="13"/>
        <v>0.3786</v>
      </c>
      <c r="AD37" s="32">
        <f t="shared" si="13"/>
        <v>0.3786</v>
      </c>
      <c r="AE37" s="32">
        <f t="shared" si="13"/>
        <v>0.3786</v>
      </c>
      <c r="AF37" s="32">
        <f t="shared" si="13"/>
        <v>0.3786</v>
      </c>
      <c r="AG37" s="32">
        <f t="shared" si="13"/>
        <v>0.3786</v>
      </c>
      <c r="AH37" s="32">
        <f t="shared" si="13"/>
        <v>0.3786</v>
      </c>
      <c r="AI37" s="32">
        <f t="shared" si="13"/>
        <v>0.3786</v>
      </c>
      <c r="AJ37" s="32">
        <f t="shared" si="13"/>
        <v>0.3786</v>
      </c>
      <c r="AK37" s="32">
        <f t="shared" si="13"/>
        <v>0.3786</v>
      </c>
      <c r="AL37" s="32">
        <f t="shared" si="13"/>
        <v>0.3786</v>
      </c>
      <c r="AM37" s="32">
        <f t="shared" si="13"/>
        <v>0.3786</v>
      </c>
    </row>
    <row r="38" spans="1:39">
      <c r="A38" s="12" t="s">
        <v>181</v>
      </c>
      <c r="B38" s="12" t="e">
        <f>模型累计+0.066</f>
        <v>#NAME?</v>
      </c>
      <c r="C38" s="33">
        <f t="shared" ref="C38:AM38" si="14">C37+0.066</f>
        <v>0.066</v>
      </c>
      <c r="D38" s="33">
        <f t="shared" si="14"/>
        <v>0.126</v>
      </c>
      <c r="E38" s="33">
        <f t="shared" si="14"/>
        <v>0.1335</v>
      </c>
      <c r="F38" s="33">
        <f t="shared" si="14"/>
        <v>0.1335</v>
      </c>
      <c r="G38" s="33">
        <f t="shared" si="14"/>
        <v>0.1625</v>
      </c>
      <c r="H38" s="33">
        <f t="shared" si="14"/>
        <v>0.1855</v>
      </c>
      <c r="I38" s="33">
        <f t="shared" si="14"/>
        <v>0.1855</v>
      </c>
      <c r="J38" s="33">
        <f t="shared" si="14"/>
        <v>0.1901</v>
      </c>
      <c r="K38" s="33">
        <f t="shared" si="14"/>
        <v>0.2526</v>
      </c>
      <c r="L38" s="33">
        <f t="shared" si="14"/>
        <v>0.2546</v>
      </c>
      <c r="M38" s="33">
        <f t="shared" si="14"/>
        <v>0.2576</v>
      </c>
      <c r="N38" s="33">
        <f t="shared" si="14"/>
        <v>0.2946</v>
      </c>
      <c r="O38" s="33">
        <f t="shared" si="14"/>
        <v>0.3186</v>
      </c>
      <c r="P38" s="33">
        <f t="shared" si="14"/>
        <v>0.3256</v>
      </c>
      <c r="Q38" s="33">
        <f t="shared" si="14"/>
        <v>0.3256</v>
      </c>
      <c r="R38" s="33">
        <f t="shared" si="14"/>
        <v>0.3256</v>
      </c>
      <c r="S38" s="33">
        <f t="shared" si="14"/>
        <v>0.3256</v>
      </c>
      <c r="T38" s="33">
        <f t="shared" si="14"/>
        <v>0.3256</v>
      </c>
      <c r="U38" s="33">
        <f t="shared" si="14"/>
        <v>0.3256</v>
      </c>
      <c r="V38" s="33">
        <f t="shared" si="14"/>
        <v>0.3386</v>
      </c>
      <c r="W38" s="33">
        <f t="shared" si="14"/>
        <v>0.3386</v>
      </c>
      <c r="X38" s="33">
        <f t="shared" si="14"/>
        <v>0.3386</v>
      </c>
      <c r="Y38" s="33">
        <f t="shared" si="14"/>
        <v>0.3386</v>
      </c>
      <c r="Z38" s="33">
        <f t="shared" si="14"/>
        <v>0.4446</v>
      </c>
      <c r="AA38" s="33">
        <f t="shared" si="14"/>
        <v>0.4446</v>
      </c>
      <c r="AB38" s="33">
        <f t="shared" si="14"/>
        <v>0.4446</v>
      </c>
      <c r="AC38" s="33">
        <f t="shared" si="14"/>
        <v>0.4446</v>
      </c>
      <c r="AD38" s="33">
        <f t="shared" si="14"/>
        <v>0.4446</v>
      </c>
      <c r="AE38" s="33">
        <f t="shared" si="14"/>
        <v>0.4446</v>
      </c>
      <c r="AF38" s="33">
        <f t="shared" si="14"/>
        <v>0.4446</v>
      </c>
      <c r="AG38" s="33">
        <f t="shared" si="14"/>
        <v>0.4446</v>
      </c>
      <c r="AH38" s="33">
        <f t="shared" si="14"/>
        <v>0.4446</v>
      </c>
      <c r="AI38" s="33">
        <f t="shared" si="14"/>
        <v>0.4446</v>
      </c>
      <c r="AJ38" s="33">
        <f t="shared" si="14"/>
        <v>0.4446</v>
      </c>
      <c r="AK38" s="33">
        <f t="shared" si="14"/>
        <v>0.4446</v>
      </c>
      <c r="AL38" s="33">
        <f t="shared" si="14"/>
        <v>0.4446</v>
      </c>
      <c r="AM38" s="33">
        <f t="shared" si="14"/>
        <v>0.4446</v>
      </c>
    </row>
    <row r="39" ht="17.6" spans="1:39">
      <c r="A39" s="3" t="s">
        <v>182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20" t="s">
        <v>183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>
      <c r="A41" s="6" t="s">
        <v>184</v>
      </c>
      <c r="B41" s="12" t="e">
        <f>粗钢产量×1.95</f>
        <v>#NAME?</v>
      </c>
      <c r="C41" s="26">
        <f t="shared" ref="C41:AM41" si="15">C13*1.95</f>
        <v>195992.55</v>
      </c>
      <c r="D41" s="26">
        <f t="shared" si="15"/>
        <v>187357.95</v>
      </c>
      <c r="E41" s="26">
        <f t="shared" si="15"/>
        <v>182821.979990952</v>
      </c>
      <c r="F41" s="26">
        <f t="shared" si="15"/>
        <v>178395.826639926</v>
      </c>
      <c r="G41" s="26">
        <f t="shared" si="15"/>
        <v>174076.831265681</v>
      </c>
      <c r="H41" s="26">
        <f t="shared" si="15"/>
        <v>169862.399554129</v>
      </c>
      <c r="I41" s="26">
        <f t="shared" si="15"/>
        <v>165750</v>
      </c>
      <c r="J41" s="26">
        <f t="shared" si="15"/>
        <v>164314.727513479</v>
      </c>
      <c r="K41" s="26">
        <f t="shared" si="15"/>
        <v>162891.883425815</v>
      </c>
      <c r="L41" s="26">
        <f t="shared" si="15"/>
        <v>161481.360116261</v>
      </c>
      <c r="M41" s="26">
        <f t="shared" si="15"/>
        <v>160083.050895984</v>
      </c>
      <c r="N41" s="26">
        <f t="shared" si="15"/>
        <v>158696.85</v>
      </c>
      <c r="O41" s="26">
        <f t="shared" si="15"/>
        <v>155082.041770152</v>
      </c>
      <c r="P41" s="26">
        <f t="shared" si="15"/>
        <v>151549.57190139</v>
      </c>
      <c r="Q41" s="26">
        <f t="shared" si="15"/>
        <v>148097.56488462</v>
      </c>
      <c r="R41" s="26">
        <f t="shared" si="15"/>
        <v>144724.187931231</v>
      </c>
      <c r="S41" s="26">
        <f t="shared" si="15"/>
        <v>141427.65</v>
      </c>
      <c r="T41" s="26">
        <f t="shared" si="15"/>
        <v>139204.54611472</v>
      </c>
      <c r="U41" s="26">
        <f t="shared" si="15"/>
        <v>137016.387241146</v>
      </c>
      <c r="V41" s="26">
        <f t="shared" si="15"/>
        <v>134862.624077982</v>
      </c>
      <c r="W41" s="26">
        <f t="shared" si="15"/>
        <v>132742.715958411</v>
      </c>
      <c r="X41" s="26">
        <f t="shared" si="15"/>
        <v>130656.130714368</v>
      </c>
      <c r="Y41" s="26">
        <f t="shared" si="15"/>
        <v>128602.344542946</v>
      </c>
      <c r="Z41" s="26">
        <f t="shared" si="15"/>
        <v>126580.841874906</v>
      </c>
      <c r="AA41" s="26">
        <f t="shared" si="15"/>
        <v>124591.115245254</v>
      </c>
      <c r="AB41" s="26">
        <f t="shared" si="15"/>
        <v>122632.665165846</v>
      </c>
      <c r="AC41" s="26">
        <f t="shared" si="15"/>
        <v>120705</v>
      </c>
      <c r="AD41" s="26">
        <f t="shared" si="15"/>
        <v>118784.425533153</v>
      </c>
      <c r="AE41" s="26">
        <f t="shared" si="15"/>
        <v>116894.409918738</v>
      </c>
      <c r="AF41" s="26">
        <f t="shared" si="15"/>
        <v>115034.466925431</v>
      </c>
      <c r="AG41" s="26">
        <f t="shared" si="15"/>
        <v>113204.118058489</v>
      </c>
      <c r="AH41" s="26">
        <f t="shared" si="15"/>
        <v>111402.892436642</v>
      </c>
      <c r="AI41" s="26">
        <f t="shared" si="15"/>
        <v>109630.32667096</v>
      </c>
      <c r="AJ41" s="26">
        <f t="shared" si="15"/>
        <v>107885.964745635</v>
      </c>
      <c r="AK41" s="26">
        <f t="shared" si="15"/>
        <v>106169.357900669</v>
      </c>
      <c r="AL41" s="26">
        <f t="shared" si="15"/>
        <v>104480.064516422</v>
      </c>
      <c r="AM41" s="26">
        <f t="shared" si="15"/>
        <v>102817.65</v>
      </c>
    </row>
    <row r="42" spans="1:39">
      <c r="A42" s="6" t="s">
        <v>185</v>
      </c>
      <c r="B42" s="12" t="e">
        <f>基准产量×1.95-当年曲线</f>
        <v>#NAME?</v>
      </c>
      <c r="C42" s="26">
        <f t="shared" ref="C42:AM42" si="16">100509*1.95-C41</f>
        <v>0</v>
      </c>
      <c r="D42" s="26">
        <f t="shared" si="16"/>
        <v>8634.60000000001</v>
      </c>
      <c r="E42" s="26">
        <f t="shared" si="16"/>
        <v>13170.5700090484</v>
      </c>
      <c r="F42" s="26">
        <f t="shared" si="16"/>
        <v>17596.723360074</v>
      </c>
      <c r="G42" s="26">
        <f t="shared" si="16"/>
        <v>21915.7187343194</v>
      </c>
      <c r="H42" s="26">
        <f t="shared" si="16"/>
        <v>26130.150445871</v>
      </c>
      <c r="I42" s="26">
        <f t="shared" si="16"/>
        <v>30242.55</v>
      </c>
      <c r="J42" s="26">
        <f t="shared" si="16"/>
        <v>31677.822486521</v>
      </c>
      <c r="K42" s="26">
        <f t="shared" si="16"/>
        <v>33100.6665741849</v>
      </c>
      <c r="L42" s="26">
        <f t="shared" si="16"/>
        <v>34511.1898837393</v>
      </c>
      <c r="M42" s="26">
        <f t="shared" si="16"/>
        <v>35909.499104016</v>
      </c>
      <c r="N42" s="26">
        <f t="shared" si="16"/>
        <v>37295.7</v>
      </c>
      <c r="O42" s="26">
        <f t="shared" si="16"/>
        <v>40910.5082298484</v>
      </c>
      <c r="P42" s="26">
        <f t="shared" si="16"/>
        <v>44442.9780986104</v>
      </c>
      <c r="Q42" s="26">
        <f t="shared" si="16"/>
        <v>47894.9851153795</v>
      </c>
      <c r="R42" s="26">
        <f t="shared" si="16"/>
        <v>51268.3620687686</v>
      </c>
      <c r="S42" s="26">
        <f t="shared" si="16"/>
        <v>54564.9</v>
      </c>
      <c r="T42" s="26">
        <f t="shared" si="16"/>
        <v>56788.0038852799</v>
      </c>
      <c r="U42" s="26">
        <f t="shared" si="16"/>
        <v>58976.1627588542</v>
      </c>
      <c r="V42" s="26">
        <f t="shared" si="16"/>
        <v>61129.9259220178</v>
      </c>
      <c r="W42" s="26">
        <f t="shared" si="16"/>
        <v>63249.8340415885</v>
      </c>
      <c r="X42" s="26">
        <f t="shared" si="16"/>
        <v>65336.419285632</v>
      </c>
      <c r="Y42" s="26">
        <f t="shared" si="16"/>
        <v>67390.2054570543</v>
      </c>
      <c r="Z42" s="26">
        <f t="shared" si="16"/>
        <v>69411.7081250936</v>
      </c>
      <c r="AA42" s="26">
        <f t="shared" si="16"/>
        <v>71401.4347547456</v>
      </c>
      <c r="AB42" s="26">
        <f t="shared" si="16"/>
        <v>73359.8848341542</v>
      </c>
      <c r="AC42" s="26">
        <f t="shared" si="16"/>
        <v>75287.55</v>
      </c>
      <c r="AD42" s="26">
        <f t="shared" si="16"/>
        <v>77208.1244668467</v>
      </c>
      <c r="AE42" s="26">
        <f t="shared" si="16"/>
        <v>79098.1400812622</v>
      </c>
      <c r="AF42" s="26">
        <f t="shared" si="16"/>
        <v>80958.0830745686</v>
      </c>
      <c r="AG42" s="26">
        <f t="shared" si="16"/>
        <v>82788.4319415112</v>
      </c>
      <c r="AH42" s="26">
        <f t="shared" si="16"/>
        <v>84589.6575633581</v>
      </c>
      <c r="AI42" s="26">
        <f t="shared" si="16"/>
        <v>86362.2233290404</v>
      </c>
      <c r="AJ42" s="26">
        <f t="shared" si="16"/>
        <v>88106.585254365</v>
      </c>
      <c r="AK42" s="26">
        <f t="shared" si="16"/>
        <v>89823.1920993308</v>
      </c>
      <c r="AL42" s="26">
        <f t="shared" si="16"/>
        <v>91512.4854835778</v>
      </c>
      <c r="AM42" s="26">
        <f t="shared" si="16"/>
        <v>93174.9</v>
      </c>
    </row>
    <row r="43" spans="1:39">
      <c r="A43" s="20" t="s">
        <v>186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>
      <c r="A44" s="6" t="s">
        <v>187</v>
      </c>
      <c r="B44" s="12"/>
      <c r="C44" s="26">
        <f t="shared" ref="C44:AM44" si="17">((C28-38394.44)/1.1)*(1.8-0.45)</f>
        <v>-0.0024545454639751</v>
      </c>
      <c r="D44" s="26">
        <f t="shared" si="17"/>
        <v>-2052.34584545454</v>
      </c>
      <c r="E44" s="26">
        <f t="shared" si="17"/>
        <v>-2822.13079639262</v>
      </c>
      <c r="F44" s="26">
        <f t="shared" si="17"/>
        <v>-3573.1929106065</v>
      </c>
      <c r="G44" s="26">
        <f t="shared" si="17"/>
        <v>-4304.80840663112</v>
      </c>
      <c r="H44" s="26">
        <f t="shared" si="17"/>
        <v>-5016.12275027612</v>
      </c>
      <c r="I44" s="26">
        <f t="shared" si="17"/>
        <v>-5706.13090909091</v>
      </c>
      <c r="J44" s="26">
        <f t="shared" si="17"/>
        <v>-5897.96052057638</v>
      </c>
      <c r="K44" s="26">
        <f t="shared" si="17"/>
        <v>-6084.59382995874</v>
      </c>
      <c r="L44" s="26">
        <f t="shared" si="17"/>
        <v>-6265.66303567729</v>
      </c>
      <c r="M44" s="26">
        <f t="shared" si="17"/>
        <v>-6440.76761089755</v>
      </c>
      <c r="N44" s="26">
        <f t="shared" si="17"/>
        <v>-6609.47138181818</v>
      </c>
      <c r="O44" s="26">
        <f t="shared" si="17"/>
        <v>-6778.60769741283</v>
      </c>
      <c r="P44" s="26">
        <f t="shared" si="17"/>
        <v>-6907.19579410555</v>
      </c>
      <c r="Q44" s="26">
        <f t="shared" si="17"/>
        <v>-6994.37149102605</v>
      </c>
      <c r="R44" s="26">
        <f t="shared" si="17"/>
        <v>-7039.20313899014</v>
      </c>
      <c r="S44" s="26">
        <f t="shared" si="17"/>
        <v>-7040.6889059693</v>
      </c>
      <c r="T44" s="26">
        <f t="shared" si="17"/>
        <v>-6719.15109054636</v>
      </c>
      <c r="U44" s="26">
        <f t="shared" si="17"/>
        <v>-6349.89462419804</v>
      </c>
      <c r="V44" s="26">
        <f t="shared" si="17"/>
        <v>-5930.74011350768</v>
      </c>
      <c r="W44" s="26">
        <f t="shared" si="17"/>
        <v>-5459.37966929099</v>
      </c>
      <c r="X44" s="26">
        <f t="shared" si="17"/>
        <v>-4933.36987759888</v>
      </c>
      <c r="Y44" s="26">
        <f t="shared" si="17"/>
        <v>-4350.12437777745</v>
      </c>
      <c r="Z44" s="26">
        <f t="shared" si="17"/>
        <v>-3706.90602573702</v>
      </c>
      <c r="AA44" s="26">
        <f t="shared" si="17"/>
        <v>-3000.81861936446</v>
      </c>
      <c r="AB44" s="26">
        <f t="shared" si="17"/>
        <v>-2228.79816172752</v>
      </c>
      <c r="AC44" s="26">
        <f t="shared" si="17"/>
        <v>-1387.60363636364</v>
      </c>
      <c r="AD44" s="26">
        <f t="shared" si="17"/>
        <v>-1292.38834222565</v>
      </c>
      <c r="AE44" s="26">
        <f t="shared" si="17"/>
        <v>-1182.26121560657</v>
      </c>
      <c r="AF44" s="26">
        <f t="shared" si="17"/>
        <v>-1057.13140648628</v>
      </c>
      <c r="AG44" s="26">
        <f t="shared" si="17"/>
        <v>-916.902952217843</v>
      </c>
      <c r="AH44" s="26">
        <f t="shared" si="17"/>
        <v>-761.474727705332</v>
      </c>
      <c r="AI44" s="26">
        <f t="shared" si="17"/>
        <v>-590.740393748794</v>
      </c>
      <c r="AJ44" s="26">
        <f t="shared" si="17"/>
        <v>-404.588343532966</v>
      </c>
      <c r="AK44" s="26">
        <f t="shared" si="17"/>
        <v>-202.901647235739</v>
      </c>
      <c r="AL44" s="26">
        <f t="shared" si="17"/>
        <v>14.4420052685336</v>
      </c>
      <c r="AM44" s="26">
        <f t="shared" si="17"/>
        <v>247.570363636384</v>
      </c>
    </row>
    <row r="45" spans="1:39">
      <c r="A45" s="6" t="s">
        <v>188</v>
      </c>
      <c r="B45" s="12" t="e">
        <f>产量曲线-原料降碳</f>
        <v>#NAME?</v>
      </c>
      <c r="C45" s="26">
        <f t="shared" ref="C45:AM45" si="18">C41-C44</f>
        <v>195992.552454545</v>
      </c>
      <c r="D45" s="26">
        <f t="shared" si="18"/>
        <v>189410.295845455</v>
      </c>
      <c r="E45" s="26">
        <f t="shared" si="18"/>
        <v>185644.110787344</v>
      </c>
      <c r="F45" s="26">
        <f t="shared" si="18"/>
        <v>181969.019550532</v>
      </c>
      <c r="G45" s="26">
        <f t="shared" si="18"/>
        <v>178381.639672312</v>
      </c>
      <c r="H45" s="26">
        <f t="shared" si="18"/>
        <v>174878.522304405</v>
      </c>
      <c r="I45" s="26">
        <f t="shared" si="18"/>
        <v>171456.130909091</v>
      </c>
      <c r="J45" s="26">
        <f t="shared" si="18"/>
        <v>170212.688034055</v>
      </c>
      <c r="K45" s="26">
        <f t="shared" si="18"/>
        <v>168976.477255774</v>
      </c>
      <c r="L45" s="26">
        <f t="shared" si="18"/>
        <v>167747.023151938</v>
      </c>
      <c r="M45" s="26">
        <f t="shared" si="18"/>
        <v>166523.818506882</v>
      </c>
      <c r="N45" s="26">
        <f t="shared" si="18"/>
        <v>165306.321381818</v>
      </c>
      <c r="O45" s="26">
        <f t="shared" si="18"/>
        <v>161860.649467564</v>
      </c>
      <c r="P45" s="26">
        <f t="shared" si="18"/>
        <v>158456.767695495</v>
      </c>
      <c r="Q45" s="26">
        <f t="shared" si="18"/>
        <v>155091.936375647</v>
      </c>
      <c r="R45" s="26">
        <f t="shared" si="18"/>
        <v>151763.391070222</v>
      </c>
      <c r="S45" s="26">
        <f t="shared" si="18"/>
        <v>148468.338905969</v>
      </c>
      <c r="T45" s="26">
        <f t="shared" si="18"/>
        <v>145923.697205266</v>
      </c>
      <c r="U45" s="26">
        <f t="shared" si="18"/>
        <v>143366.281865344</v>
      </c>
      <c r="V45" s="26">
        <f t="shared" si="18"/>
        <v>140793.36419149</v>
      </c>
      <c r="W45" s="26">
        <f t="shared" si="18"/>
        <v>138202.095627702</v>
      </c>
      <c r="X45" s="26">
        <f t="shared" si="18"/>
        <v>135589.500591967</v>
      </c>
      <c r="Y45" s="26">
        <f t="shared" si="18"/>
        <v>132952.468920723</v>
      </c>
      <c r="Z45" s="26">
        <f t="shared" si="18"/>
        <v>130287.747900643</v>
      </c>
      <c r="AA45" s="26">
        <f t="shared" si="18"/>
        <v>127591.933864619</v>
      </c>
      <c r="AB45" s="26">
        <f t="shared" si="18"/>
        <v>124861.463327573</v>
      </c>
      <c r="AC45" s="26">
        <f t="shared" si="18"/>
        <v>122092.603636364</v>
      </c>
      <c r="AD45" s="26">
        <f t="shared" si="18"/>
        <v>120076.813875379</v>
      </c>
      <c r="AE45" s="26">
        <f t="shared" si="18"/>
        <v>118076.671134344</v>
      </c>
      <c r="AF45" s="26">
        <f t="shared" si="18"/>
        <v>116091.598331918</v>
      </c>
      <c r="AG45" s="26">
        <f t="shared" si="18"/>
        <v>114121.021010707</v>
      </c>
      <c r="AH45" s="26">
        <f t="shared" si="18"/>
        <v>112164.367164347</v>
      </c>
      <c r="AI45" s="26">
        <f t="shared" si="18"/>
        <v>110221.067064708</v>
      </c>
      <c r="AJ45" s="26">
        <f t="shared" si="18"/>
        <v>108290.553089168</v>
      </c>
      <c r="AK45" s="26">
        <f t="shared" si="18"/>
        <v>106372.259547905</v>
      </c>
      <c r="AL45" s="26">
        <f t="shared" si="18"/>
        <v>104465.622511154</v>
      </c>
      <c r="AM45" s="26">
        <f t="shared" si="18"/>
        <v>102570.079636364</v>
      </c>
    </row>
    <row r="46" spans="1:39">
      <c r="A46" s="20" t="s">
        <v>189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>
      <c r="A47" s="6" t="s">
        <v>190</v>
      </c>
      <c r="B47" s="12"/>
      <c r="C47" s="26">
        <f t="shared" ref="C47:AM47" si="19">(C25-11055.99)*1.26</f>
        <v>0</v>
      </c>
      <c r="D47" s="26">
        <f t="shared" si="19"/>
        <v>-613.720799999998</v>
      </c>
      <c r="E47" s="26">
        <f t="shared" si="19"/>
        <v>-546.290877154729</v>
      </c>
      <c r="F47" s="26">
        <f t="shared" si="19"/>
        <v>-489.931365830069</v>
      </c>
      <c r="G47" s="26">
        <f t="shared" si="19"/>
        <v>-444.145755573621</v>
      </c>
      <c r="H47" s="26">
        <f t="shared" si="19"/>
        <v>-408.45508841715</v>
      </c>
      <c r="I47" s="26">
        <f t="shared" si="19"/>
        <v>-382.3974</v>
      </c>
      <c r="J47" s="26">
        <f t="shared" si="19"/>
        <v>-336.208571466372</v>
      </c>
      <c r="K47" s="26">
        <f t="shared" si="19"/>
        <v>-291.835543364318</v>
      </c>
      <c r="L47" s="26">
        <f t="shared" si="19"/>
        <v>-249.250332082277</v>
      </c>
      <c r="M47" s="26">
        <f t="shared" si="19"/>
        <v>-208.425302489663</v>
      </c>
      <c r="N47" s="26">
        <f t="shared" si="19"/>
        <v>-169.333163999998</v>
      </c>
      <c r="O47" s="26">
        <f t="shared" si="19"/>
        <v>496.047624322901</v>
      </c>
      <c r="P47" s="26">
        <f t="shared" si="19"/>
        <v>1193.60083477923</v>
      </c>
      <c r="Q47" s="26">
        <f t="shared" si="19"/>
        <v>1924.88206495175</v>
      </c>
      <c r="R47" s="26">
        <f t="shared" si="19"/>
        <v>2691.52212851449</v>
      </c>
      <c r="S47" s="26">
        <f t="shared" si="19"/>
        <v>3495.23069207334</v>
      </c>
      <c r="T47" s="26">
        <f t="shared" si="19"/>
        <v>4469.76318478575</v>
      </c>
      <c r="U47" s="26">
        <f t="shared" si="19"/>
        <v>5498.79617522828</v>
      </c>
      <c r="V47" s="26">
        <f t="shared" si="19"/>
        <v>6585.37759076612</v>
      </c>
      <c r="W47" s="26">
        <f t="shared" si="19"/>
        <v>7732.72581337703</v>
      </c>
      <c r="X47" s="26">
        <f t="shared" si="19"/>
        <v>8944.23921228493</v>
      </c>
      <c r="Y47" s="26">
        <f t="shared" si="19"/>
        <v>10223.5062097038</v>
      </c>
      <c r="Z47" s="26">
        <f t="shared" si="19"/>
        <v>11574.3159095061</v>
      </c>
      <c r="AA47" s="26">
        <f t="shared" si="19"/>
        <v>13000.6693202963</v>
      </c>
      <c r="AB47" s="26">
        <f t="shared" si="19"/>
        <v>14506.7912061332</v>
      </c>
      <c r="AC47" s="26">
        <f t="shared" si="19"/>
        <v>16097.1426</v>
      </c>
      <c r="AD47" s="26">
        <f t="shared" si="19"/>
        <v>16692.3557581614</v>
      </c>
      <c r="AE47" s="26">
        <f t="shared" si="19"/>
        <v>17299.367316521</v>
      </c>
      <c r="AF47" s="26">
        <f t="shared" si="19"/>
        <v>17918.411144652</v>
      </c>
      <c r="AG47" s="26">
        <f t="shared" si="19"/>
        <v>18549.7257479236</v>
      </c>
      <c r="AH47" s="26">
        <f t="shared" si="19"/>
        <v>19193.5543593925</v>
      </c>
      <c r="AI47" s="26">
        <f t="shared" si="19"/>
        <v>19850.1450335159</v>
      </c>
      <c r="AJ47" s="26">
        <f t="shared" si="19"/>
        <v>20519.7507417216</v>
      </c>
      <c r="AK47" s="26">
        <f t="shared" si="19"/>
        <v>21202.6294698733</v>
      </c>
      <c r="AL47" s="26">
        <f t="shared" si="19"/>
        <v>21899.0443176674</v>
      </c>
      <c r="AM47" s="26">
        <f t="shared" si="19"/>
        <v>22609.2636</v>
      </c>
    </row>
    <row r="48" spans="1:39">
      <c r="A48" s="6" t="s">
        <v>191</v>
      </c>
      <c r="B48" s="12" t="e">
        <f>原料曲线-短流程降碳</f>
        <v>#NAME?</v>
      </c>
      <c r="C48" s="26">
        <f t="shared" ref="C48:AM48" si="20">C45-C47</f>
        <v>195992.552454545</v>
      </c>
      <c r="D48" s="26">
        <f t="shared" si="20"/>
        <v>190024.016645455</v>
      </c>
      <c r="E48" s="26">
        <f t="shared" si="20"/>
        <v>186190.401664499</v>
      </c>
      <c r="F48" s="26">
        <f t="shared" si="20"/>
        <v>182458.950916363</v>
      </c>
      <c r="G48" s="26">
        <f t="shared" si="20"/>
        <v>178825.785427885</v>
      </c>
      <c r="H48" s="26">
        <f t="shared" si="20"/>
        <v>175286.977392822</v>
      </c>
      <c r="I48" s="26">
        <f t="shared" si="20"/>
        <v>171838.528309091</v>
      </c>
      <c r="J48" s="26">
        <f t="shared" si="20"/>
        <v>170548.896605522</v>
      </c>
      <c r="K48" s="26">
        <f t="shared" si="20"/>
        <v>169268.312799138</v>
      </c>
      <c r="L48" s="26">
        <f t="shared" si="20"/>
        <v>167996.27348402</v>
      </c>
      <c r="M48" s="26">
        <f t="shared" si="20"/>
        <v>166732.243809371</v>
      </c>
      <c r="N48" s="26">
        <f t="shared" si="20"/>
        <v>165475.654545818</v>
      </c>
      <c r="O48" s="26">
        <f t="shared" si="20"/>
        <v>161364.601843241</v>
      </c>
      <c r="P48" s="26">
        <f t="shared" si="20"/>
        <v>157263.166860716</v>
      </c>
      <c r="Q48" s="26">
        <f t="shared" si="20"/>
        <v>153167.054310695</v>
      </c>
      <c r="R48" s="26">
        <f t="shared" si="20"/>
        <v>149071.868941707</v>
      </c>
      <c r="S48" s="26">
        <f t="shared" si="20"/>
        <v>144973.108213896</v>
      </c>
      <c r="T48" s="26">
        <f t="shared" si="20"/>
        <v>141453.934020481</v>
      </c>
      <c r="U48" s="26">
        <f t="shared" si="20"/>
        <v>137867.485690116</v>
      </c>
      <c r="V48" s="26">
        <f t="shared" si="20"/>
        <v>134207.986600724</v>
      </c>
      <c r="W48" s="26">
        <f t="shared" si="20"/>
        <v>130469.369814325</v>
      </c>
      <c r="X48" s="26">
        <f t="shared" si="20"/>
        <v>126645.261379682</v>
      </c>
      <c r="Y48" s="26">
        <f t="shared" si="20"/>
        <v>122728.962711019</v>
      </c>
      <c r="Z48" s="26">
        <f t="shared" si="20"/>
        <v>118713.431991137</v>
      </c>
      <c r="AA48" s="26">
        <f t="shared" si="20"/>
        <v>114591.264544323</v>
      </c>
      <c r="AB48" s="26">
        <f t="shared" si="20"/>
        <v>110354.67212144</v>
      </c>
      <c r="AC48" s="26">
        <f t="shared" si="20"/>
        <v>105995.461036364</v>
      </c>
      <c r="AD48" s="26">
        <f t="shared" si="20"/>
        <v>103384.458117218</v>
      </c>
      <c r="AE48" s="26">
        <f t="shared" si="20"/>
        <v>100777.303817823</v>
      </c>
      <c r="AF48" s="26">
        <f t="shared" si="20"/>
        <v>98173.1871872657</v>
      </c>
      <c r="AG48" s="26">
        <f t="shared" si="20"/>
        <v>95571.2952627831</v>
      </c>
      <c r="AH48" s="26">
        <f t="shared" si="20"/>
        <v>92970.8128049547</v>
      </c>
      <c r="AI48" s="26">
        <f t="shared" si="20"/>
        <v>90370.9220311925</v>
      </c>
      <c r="AJ48" s="26">
        <f t="shared" si="20"/>
        <v>87770.8023474464</v>
      </c>
      <c r="AK48" s="26">
        <f t="shared" si="20"/>
        <v>85169.6300780316</v>
      </c>
      <c r="AL48" s="26">
        <f t="shared" si="20"/>
        <v>82566.5781934862</v>
      </c>
      <c r="AM48" s="26">
        <f t="shared" si="20"/>
        <v>79960.8160363636</v>
      </c>
    </row>
    <row r="49" spans="1:39">
      <c r="A49" s="20" t="s">
        <v>192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>
      <c r="A50" s="6" t="s">
        <v>193</v>
      </c>
      <c r="B50" s="12"/>
      <c r="C50" s="26">
        <f t="shared" ref="C50:AM50" si="21">((C27-952.52)/1.65)*1.26</f>
        <v>0.00289647272716552</v>
      </c>
      <c r="D50" s="26">
        <f t="shared" si="21"/>
        <v>37.4911859890911</v>
      </c>
      <c r="E50" s="26">
        <f t="shared" si="21"/>
        <v>152.156702098151</v>
      </c>
      <c r="F50" s="26">
        <f t="shared" si="21"/>
        <v>284.012301424129</v>
      </c>
      <c r="G50" s="26">
        <f t="shared" si="21"/>
        <v>435.635035647703</v>
      </c>
      <c r="H50" s="26">
        <f t="shared" si="21"/>
        <v>609.988295205508</v>
      </c>
      <c r="I50" s="26">
        <f t="shared" si="21"/>
        <v>810.479727272727</v>
      </c>
      <c r="J50" s="26">
        <f t="shared" si="21"/>
        <v>947.422687843731</v>
      </c>
      <c r="K50" s="26">
        <f t="shared" si="21"/>
        <v>1096.56012065459</v>
      </c>
      <c r="L50" s="26">
        <f t="shared" si="21"/>
        <v>1258.97791688647</v>
      </c>
      <c r="M50" s="26">
        <f t="shared" si="21"/>
        <v>1435.85866396409</v>
      </c>
      <c r="N50" s="26">
        <f t="shared" si="21"/>
        <v>1628.49025614545</v>
      </c>
      <c r="O50" s="26">
        <f t="shared" si="21"/>
        <v>1752.4286078275</v>
      </c>
      <c r="P50" s="26">
        <f t="shared" si="21"/>
        <v>1882.8871496985</v>
      </c>
      <c r="Q50" s="26">
        <f t="shared" si="21"/>
        <v>2020.20889810106</v>
      </c>
      <c r="R50" s="26">
        <f t="shared" si="21"/>
        <v>2164.75491489605</v>
      </c>
      <c r="S50" s="26">
        <f t="shared" si="21"/>
        <v>2316.90525680727</v>
      </c>
      <c r="T50" s="26">
        <f t="shared" si="21"/>
        <v>2467.10534281368</v>
      </c>
      <c r="U50" s="26">
        <f t="shared" si="21"/>
        <v>2624.7160595651</v>
      </c>
      <c r="V50" s="26">
        <f t="shared" si="21"/>
        <v>2790.10303566732</v>
      </c>
      <c r="W50" s="26">
        <f t="shared" si="21"/>
        <v>2963.6499392537</v>
      </c>
      <c r="X50" s="26">
        <f t="shared" si="21"/>
        <v>3145.7593680264</v>
      </c>
      <c r="Y50" s="26">
        <f t="shared" si="21"/>
        <v>3336.8537832109</v>
      </c>
      <c r="Z50" s="26">
        <f t="shared" si="21"/>
        <v>3537.37648959028</v>
      </c>
      <c r="AA50" s="26">
        <f t="shared" si="21"/>
        <v>3747.79266389286</v>
      </c>
      <c r="AB50" s="26">
        <f t="shared" si="21"/>
        <v>3968.5904339188</v>
      </c>
      <c r="AC50" s="26">
        <f t="shared" si="21"/>
        <v>4200.28201090909</v>
      </c>
      <c r="AD50" s="26">
        <f t="shared" si="21"/>
        <v>4307.0218794056</v>
      </c>
      <c r="AE50" s="26">
        <f t="shared" si="21"/>
        <v>4416.07387929905</v>
      </c>
      <c r="AF50" s="26">
        <f t="shared" si="21"/>
        <v>4527.48809451472</v>
      </c>
      <c r="AG50" s="26">
        <f t="shared" si="21"/>
        <v>4641.31569386412</v>
      </c>
      <c r="AH50" s="26">
        <f t="shared" si="21"/>
        <v>4757.60895454516</v>
      </c>
      <c r="AI50" s="26">
        <f t="shared" si="21"/>
        <v>4876.42128615125</v>
      </c>
      <c r="AJ50" s="26">
        <f t="shared" si="21"/>
        <v>4997.80725520061</v>
      </c>
      <c r="AK50" s="26">
        <f t="shared" si="21"/>
        <v>5121.82261019676</v>
      </c>
      <c r="AL50" s="26">
        <f t="shared" si="21"/>
        <v>5248.52430723201</v>
      </c>
      <c r="AM50" s="26">
        <f t="shared" si="21"/>
        <v>5377.97053614546</v>
      </c>
    </row>
    <row r="51" spans="1:39">
      <c r="A51" s="6" t="s">
        <v>194</v>
      </c>
      <c r="B51" s="12" t="e">
        <f>短流程曲线-氢冶金降碳</f>
        <v>#NAME?</v>
      </c>
      <c r="C51" s="26">
        <f t="shared" ref="C51:AM51" si="22">C48-C50</f>
        <v>195992.549558073</v>
      </c>
      <c r="D51" s="26">
        <f t="shared" si="22"/>
        <v>189986.525459465</v>
      </c>
      <c r="E51" s="26">
        <f t="shared" si="22"/>
        <v>186038.244962401</v>
      </c>
      <c r="F51" s="26">
        <f t="shared" si="22"/>
        <v>182174.938614938</v>
      </c>
      <c r="G51" s="26">
        <f t="shared" si="22"/>
        <v>178390.150392238</v>
      </c>
      <c r="H51" s="26">
        <f t="shared" si="22"/>
        <v>174676.989097617</v>
      </c>
      <c r="I51" s="26">
        <f t="shared" si="22"/>
        <v>171028.048581818</v>
      </c>
      <c r="J51" s="26">
        <f t="shared" si="22"/>
        <v>169601.473917678</v>
      </c>
      <c r="K51" s="26">
        <f t="shared" si="22"/>
        <v>168171.752678484</v>
      </c>
      <c r="L51" s="26">
        <f t="shared" si="22"/>
        <v>166737.295567134</v>
      </c>
      <c r="M51" s="26">
        <f t="shared" si="22"/>
        <v>165296.385145407</v>
      </c>
      <c r="N51" s="26">
        <f t="shared" si="22"/>
        <v>163847.164289673</v>
      </c>
      <c r="O51" s="26">
        <f t="shared" si="22"/>
        <v>159612.173235414</v>
      </c>
      <c r="P51" s="26">
        <f t="shared" si="22"/>
        <v>155380.279711017</v>
      </c>
      <c r="Q51" s="26">
        <f t="shared" si="22"/>
        <v>151146.845412594</v>
      </c>
      <c r="R51" s="26">
        <f t="shared" si="22"/>
        <v>146907.114026811</v>
      </c>
      <c r="S51" s="26">
        <f t="shared" si="22"/>
        <v>142656.202957089</v>
      </c>
      <c r="T51" s="26">
        <f t="shared" si="22"/>
        <v>138986.828677667</v>
      </c>
      <c r="U51" s="26">
        <f t="shared" si="22"/>
        <v>135242.76963055</v>
      </c>
      <c r="V51" s="26">
        <f t="shared" si="22"/>
        <v>131417.883565056</v>
      </c>
      <c r="W51" s="26">
        <f t="shared" si="22"/>
        <v>127505.719875072</v>
      </c>
      <c r="X51" s="26">
        <f t="shared" si="22"/>
        <v>123499.502011655</v>
      </c>
      <c r="Y51" s="26">
        <f t="shared" si="22"/>
        <v>119392.108927808</v>
      </c>
      <c r="Z51" s="26">
        <f t="shared" si="22"/>
        <v>115176.055501547</v>
      </c>
      <c r="AA51" s="26">
        <f t="shared" si="22"/>
        <v>110843.47188043</v>
      </c>
      <c r="AB51" s="26">
        <f t="shared" si="22"/>
        <v>106386.081687521</v>
      </c>
      <c r="AC51" s="26">
        <f t="shared" si="22"/>
        <v>101795.179025455</v>
      </c>
      <c r="AD51" s="26">
        <f t="shared" si="22"/>
        <v>99077.436237812</v>
      </c>
      <c r="AE51" s="26">
        <f t="shared" si="22"/>
        <v>96361.2299385243</v>
      </c>
      <c r="AF51" s="26">
        <f t="shared" si="22"/>
        <v>93645.699092751</v>
      </c>
      <c r="AG51" s="26">
        <f t="shared" si="22"/>
        <v>90929.979568919</v>
      </c>
      <c r="AH51" s="26">
        <f t="shared" si="22"/>
        <v>88213.2038504096</v>
      </c>
      <c r="AI51" s="26">
        <f t="shared" si="22"/>
        <v>85494.5007450413</v>
      </c>
      <c r="AJ51" s="26">
        <f t="shared" si="22"/>
        <v>82772.9950922458</v>
      </c>
      <c r="AK51" s="26">
        <f t="shared" si="22"/>
        <v>80047.8074678349</v>
      </c>
      <c r="AL51" s="26">
        <f t="shared" si="22"/>
        <v>77318.0538862542</v>
      </c>
      <c r="AM51" s="26">
        <f t="shared" si="22"/>
        <v>74582.8455002182</v>
      </c>
    </row>
    <row r="52" spans="1:39">
      <c r="A52" s="20" t="s">
        <v>195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>
      <c r="A53" s="6" t="s">
        <v>196</v>
      </c>
      <c r="B53" s="12" t="e">
        <f>绿电量×0.5306/1000</f>
        <v>#NAME?</v>
      </c>
      <c r="C53" s="26">
        <f t="shared" ref="C53:AM53" si="23">C33*0.5306/1000</f>
        <v>0</v>
      </c>
      <c r="D53" s="26">
        <f t="shared" si="23"/>
        <v>1173.9552737115</v>
      </c>
      <c r="E53" s="26">
        <f t="shared" si="23"/>
        <v>1692.00922404842</v>
      </c>
      <c r="F53" s="26">
        <f t="shared" si="23"/>
        <v>2438.76561818642</v>
      </c>
      <c r="G53" s="26">
        <f t="shared" si="23"/>
        <v>3515.25195524358</v>
      </c>
      <c r="H53" s="26">
        <f t="shared" si="23"/>
        <v>5067.1681515741</v>
      </c>
      <c r="I53" s="26">
        <f t="shared" si="23"/>
        <v>7304.6707125</v>
      </c>
      <c r="J53" s="26">
        <f t="shared" si="23"/>
        <v>7931.02779141388</v>
      </c>
      <c r="K53" s="26">
        <f t="shared" si="23"/>
        <v>8611.31632790852</v>
      </c>
      <c r="L53" s="26">
        <f t="shared" si="23"/>
        <v>9350.22276233529</v>
      </c>
      <c r="M53" s="26">
        <f t="shared" si="23"/>
        <v>10152.8489281592</v>
      </c>
      <c r="N53" s="26">
        <f t="shared" si="23"/>
        <v>11024.750413138</v>
      </c>
      <c r="O53" s="26">
        <f t="shared" si="23"/>
        <v>11331.3876756003</v>
      </c>
      <c r="P53" s="26">
        <f t="shared" si="23"/>
        <v>11648.4068773239</v>
      </c>
      <c r="Q53" s="26">
        <f t="shared" si="23"/>
        <v>11976.3309605407</v>
      </c>
      <c r="R53" s="26">
        <f t="shared" si="23"/>
        <v>12315.7222410946</v>
      </c>
      <c r="S53" s="26">
        <f t="shared" si="23"/>
        <v>12667.1860394615</v>
      </c>
      <c r="T53" s="26">
        <f t="shared" si="23"/>
        <v>12751.804436074</v>
      </c>
      <c r="U53" s="26">
        <f t="shared" si="23"/>
        <v>12839.7017499482</v>
      </c>
      <c r="V53" s="26">
        <f t="shared" si="23"/>
        <v>12931.1153319733</v>
      </c>
      <c r="W53" s="26">
        <f t="shared" si="23"/>
        <v>13026.3005005826</v>
      </c>
      <c r="X53" s="26">
        <f t="shared" si="23"/>
        <v>13125.5319058663</v>
      </c>
      <c r="Y53" s="26">
        <f t="shared" si="23"/>
        <v>13229.1049973341</v>
      </c>
      <c r="Z53" s="26">
        <f t="shared" si="23"/>
        <v>13337.3376032106</v>
      </c>
      <c r="AA53" s="26">
        <f t="shared" si="23"/>
        <v>13450.5716297423</v>
      </c>
      <c r="AB53" s="26">
        <f t="shared" si="23"/>
        <v>13569.1748896434</v>
      </c>
      <c r="AC53" s="26">
        <f t="shared" si="23"/>
        <v>13693.5430695</v>
      </c>
      <c r="AD53" s="26">
        <f t="shared" si="23"/>
        <v>13667.521241367</v>
      </c>
      <c r="AE53" s="26">
        <f t="shared" si="23"/>
        <v>13642.9226245014</v>
      </c>
      <c r="AF53" s="26">
        <f t="shared" si="23"/>
        <v>13619.7810567205</v>
      </c>
      <c r="AG53" s="26">
        <f t="shared" si="23"/>
        <v>13598.1314964475</v>
      </c>
      <c r="AH53" s="26">
        <f t="shared" si="23"/>
        <v>13578.0100577851</v>
      </c>
      <c r="AI53" s="26">
        <f t="shared" si="23"/>
        <v>13559.4540466986</v>
      </c>
      <c r="AJ53" s="26">
        <f t="shared" si="23"/>
        <v>13542.5019983406</v>
      </c>
      <c r="AK53" s="26">
        <f t="shared" si="23"/>
        <v>13527.1937155558</v>
      </c>
      <c r="AL53" s="26">
        <f t="shared" si="23"/>
        <v>13513.5703086009</v>
      </c>
      <c r="AM53" s="26">
        <f t="shared" si="23"/>
        <v>13501.67423612</v>
      </c>
    </row>
    <row r="54" spans="1:39">
      <c r="A54" s="6" t="s">
        <v>197</v>
      </c>
      <c r="B54" s="12" t="e">
        <f>氢冶金曲线-绿电降碳</f>
        <v>#NAME?</v>
      </c>
      <c r="C54" s="26">
        <f t="shared" ref="C54:AM54" si="24">C51-C53</f>
        <v>195992.549558073</v>
      </c>
      <c r="D54" s="26">
        <f t="shared" si="24"/>
        <v>188812.570185754</v>
      </c>
      <c r="E54" s="26">
        <f t="shared" si="24"/>
        <v>184346.235738352</v>
      </c>
      <c r="F54" s="26">
        <f t="shared" si="24"/>
        <v>179736.172996752</v>
      </c>
      <c r="G54" s="26">
        <f t="shared" si="24"/>
        <v>174874.898436994</v>
      </c>
      <c r="H54" s="26">
        <f t="shared" si="24"/>
        <v>169609.820946043</v>
      </c>
      <c r="I54" s="26">
        <f t="shared" si="24"/>
        <v>163723.377869318</v>
      </c>
      <c r="J54" s="26">
        <f t="shared" si="24"/>
        <v>161670.446126264</v>
      </c>
      <c r="K54" s="26">
        <f t="shared" si="24"/>
        <v>159560.436350575</v>
      </c>
      <c r="L54" s="26">
        <f t="shared" si="24"/>
        <v>157387.072804798</v>
      </c>
      <c r="M54" s="26">
        <f t="shared" si="24"/>
        <v>155143.536217248</v>
      </c>
      <c r="N54" s="26">
        <f t="shared" si="24"/>
        <v>152822.413876535</v>
      </c>
      <c r="O54" s="26">
        <f t="shared" si="24"/>
        <v>148280.785559814</v>
      </c>
      <c r="P54" s="26">
        <f t="shared" si="24"/>
        <v>143731.872833694</v>
      </c>
      <c r="Q54" s="26">
        <f t="shared" si="24"/>
        <v>139170.514452053</v>
      </c>
      <c r="R54" s="26">
        <f t="shared" si="24"/>
        <v>134591.391785716</v>
      </c>
      <c r="S54" s="26">
        <f t="shared" si="24"/>
        <v>129989.016917627</v>
      </c>
      <c r="T54" s="26">
        <f t="shared" si="24"/>
        <v>126235.024241593</v>
      </c>
      <c r="U54" s="26">
        <f t="shared" si="24"/>
        <v>122403.067880602</v>
      </c>
      <c r="V54" s="26">
        <f t="shared" si="24"/>
        <v>118486.768233083</v>
      </c>
      <c r="W54" s="26">
        <f t="shared" si="24"/>
        <v>114479.419374489</v>
      </c>
      <c r="X54" s="26">
        <f t="shared" si="24"/>
        <v>110373.970105789</v>
      </c>
      <c r="Y54" s="26">
        <f t="shared" si="24"/>
        <v>106163.003930474</v>
      </c>
      <c r="Z54" s="26">
        <f t="shared" si="24"/>
        <v>101838.717898337</v>
      </c>
      <c r="AA54" s="26">
        <f t="shared" si="24"/>
        <v>97392.9002506874</v>
      </c>
      <c r="AB54" s="26">
        <f t="shared" si="24"/>
        <v>92816.9067978779</v>
      </c>
      <c r="AC54" s="26">
        <f t="shared" si="24"/>
        <v>88101.6359559545</v>
      </c>
      <c r="AD54" s="26">
        <f t="shared" si="24"/>
        <v>85409.9149964449</v>
      </c>
      <c r="AE54" s="26">
        <f t="shared" si="24"/>
        <v>82718.3073140229</v>
      </c>
      <c r="AF54" s="26">
        <f t="shared" si="24"/>
        <v>80025.9180360305</v>
      </c>
      <c r="AG54" s="26">
        <f t="shared" si="24"/>
        <v>77331.8480724715</v>
      </c>
      <c r="AH54" s="26">
        <f t="shared" si="24"/>
        <v>74635.1937926245</v>
      </c>
      <c r="AI54" s="26">
        <f t="shared" si="24"/>
        <v>71935.0466983427</v>
      </c>
      <c r="AJ54" s="26">
        <f t="shared" si="24"/>
        <v>69230.4930939052</v>
      </c>
      <c r="AK54" s="26">
        <f t="shared" si="24"/>
        <v>66520.6137522791</v>
      </c>
      <c r="AL54" s="26">
        <f t="shared" si="24"/>
        <v>63804.4835776534</v>
      </c>
      <c r="AM54" s="26">
        <f t="shared" si="24"/>
        <v>61081.1712640982</v>
      </c>
    </row>
    <row r="55" spans="1:39">
      <c r="A55" s="20" t="s">
        <v>198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>
      <c r="A56" s="6" t="s">
        <v>199</v>
      </c>
      <c r="B56" s="12" t="e">
        <f>产量×累计技术潜力</f>
        <v>#NAME?</v>
      </c>
      <c r="C56" s="26">
        <f t="shared" ref="C56:AM56" si="25">C13*C37</f>
        <v>0</v>
      </c>
      <c r="D56" s="26">
        <f t="shared" si="25"/>
        <v>5764.86</v>
      </c>
      <c r="E56" s="26">
        <f t="shared" si="25"/>
        <v>6328.45315353294</v>
      </c>
      <c r="F56" s="26">
        <f t="shared" si="25"/>
        <v>6175.24015292052</v>
      </c>
      <c r="G56" s="26">
        <f t="shared" si="25"/>
        <v>8614.5713934042</v>
      </c>
      <c r="H56" s="26">
        <f t="shared" si="25"/>
        <v>10409.5162803684</v>
      </c>
      <c r="I56" s="26">
        <f t="shared" si="25"/>
        <v>10157.5</v>
      </c>
      <c r="J56" s="26">
        <f t="shared" si="25"/>
        <v>10457.1577868835</v>
      </c>
      <c r="K56" s="26">
        <f t="shared" si="25"/>
        <v>15587.5002293626</v>
      </c>
      <c r="L56" s="26">
        <f t="shared" si="25"/>
        <v>15618.1459066291</v>
      </c>
      <c r="M56" s="26">
        <f t="shared" si="25"/>
        <v>15729.1859239336</v>
      </c>
      <c r="N56" s="26">
        <f t="shared" si="25"/>
        <v>18604.1538</v>
      </c>
      <c r="O56" s="26">
        <f t="shared" si="25"/>
        <v>20089.0891031489</v>
      </c>
      <c r="P56" s="26">
        <f t="shared" si="25"/>
        <v>20175.5224951799</v>
      </c>
      <c r="Q56" s="26">
        <f t="shared" si="25"/>
        <v>19715.9629969474</v>
      </c>
      <c r="R56" s="26">
        <f t="shared" si="25"/>
        <v>19266.8713779219</v>
      </c>
      <c r="S56" s="26">
        <f t="shared" si="25"/>
        <v>18828.0092</v>
      </c>
      <c r="T56" s="26">
        <f t="shared" si="25"/>
        <v>18532.0513699391</v>
      </c>
      <c r="U56" s="26">
        <f t="shared" si="25"/>
        <v>18240.7457065649</v>
      </c>
      <c r="V56" s="26">
        <f t="shared" si="25"/>
        <v>18853.1032429015</v>
      </c>
      <c r="W56" s="26">
        <f t="shared" si="25"/>
        <v>18556.7509591092</v>
      </c>
      <c r="X56" s="26">
        <f t="shared" si="25"/>
        <v>18265.0570424291</v>
      </c>
      <c r="Y56" s="26">
        <f t="shared" si="25"/>
        <v>17977.948267901</v>
      </c>
      <c r="Z56" s="26">
        <f t="shared" si="25"/>
        <v>24576.1572994049</v>
      </c>
      <c r="AA56" s="26">
        <f t="shared" si="25"/>
        <v>24189.8442214632</v>
      </c>
      <c r="AB56" s="26">
        <f t="shared" si="25"/>
        <v>23809.6036060457</v>
      </c>
      <c r="AC56" s="26">
        <f t="shared" si="25"/>
        <v>23435.34</v>
      </c>
      <c r="AD56" s="26">
        <f t="shared" si="25"/>
        <v>23062.4530804368</v>
      </c>
      <c r="AE56" s="26">
        <f t="shared" si="25"/>
        <v>22695.4992796072</v>
      </c>
      <c r="AF56" s="26">
        <f t="shared" si="25"/>
        <v>22334.3841938299</v>
      </c>
      <c r="AG56" s="26">
        <f t="shared" si="25"/>
        <v>21979.0149215097</v>
      </c>
      <c r="AH56" s="26">
        <f t="shared" si="25"/>
        <v>21629.3000392372</v>
      </c>
      <c r="AI56" s="26">
        <f t="shared" si="25"/>
        <v>21285.1495782694</v>
      </c>
      <c r="AJ56" s="26">
        <f t="shared" si="25"/>
        <v>20946.4750013833</v>
      </c>
      <c r="AK56" s="26">
        <f t="shared" si="25"/>
        <v>20613.1891800992</v>
      </c>
      <c r="AL56" s="26">
        <f t="shared" si="25"/>
        <v>20285.2063722654</v>
      </c>
      <c r="AM56" s="26">
        <f t="shared" si="25"/>
        <v>19962.4422</v>
      </c>
    </row>
    <row r="57" spans="1:39">
      <c r="A57" s="6" t="s">
        <v>200</v>
      </c>
      <c r="B57" s="12" t="e">
        <f>能源曲线-技术降碳</f>
        <v>#NAME?</v>
      </c>
      <c r="C57" s="26">
        <f t="shared" ref="C57:AM57" si="26">C54-C56</f>
        <v>195992.549558073</v>
      </c>
      <c r="D57" s="26">
        <f t="shared" si="26"/>
        <v>183047.710185754</v>
      </c>
      <c r="E57" s="26">
        <f t="shared" si="26"/>
        <v>178017.78258482</v>
      </c>
      <c r="F57" s="26">
        <f t="shared" si="26"/>
        <v>173560.932843831</v>
      </c>
      <c r="G57" s="26">
        <f t="shared" si="26"/>
        <v>166260.32704359</v>
      </c>
      <c r="H57" s="26">
        <f t="shared" si="26"/>
        <v>159200.304665674</v>
      </c>
      <c r="I57" s="26">
        <f t="shared" si="26"/>
        <v>153565.877869318</v>
      </c>
      <c r="J57" s="26">
        <f t="shared" si="26"/>
        <v>151213.288339381</v>
      </c>
      <c r="K57" s="26">
        <f t="shared" si="26"/>
        <v>143972.936121212</v>
      </c>
      <c r="L57" s="26">
        <f t="shared" si="26"/>
        <v>141768.926898169</v>
      </c>
      <c r="M57" s="26">
        <f t="shared" si="26"/>
        <v>139414.350293314</v>
      </c>
      <c r="N57" s="26">
        <f t="shared" si="26"/>
        <v>134218.260076535</v>
      </c>
      <c r="O57" s="26">
        <f t="shared" si="26"/>
        <v>128191.696456665</v>
      </c>
      <c r="P57" s="26">
        <f t="shared" si="26"/>
        <v>123556.350338514</v>
      </c>
      <c r="Q57" s="26">
        <f t="shared" si="26"/>
        <v>119454.551455106</v>
      </c>
      <c r="R57" s="26">
        <f t="shared" si="26"/>
        <v>115324.520407795</v>
      </c>
      <c r="S57" s="26">
        <f t="shared" si="26"/>
        <v>111161.007717627</v>
      </c>
      <c r="T57" s="26">
        <f t="shared" si="26"/>
        <v>107702.972871654</v>
      </c>
      <c r="U57" s="26">
        <f t="shared" si="26"/>
        <v>104162.322174037</v>
      </c>
      <c r="V57" s="26">
        <f t="shared" si="26"/>
        <v>99633.6649901816</v>
      </c>
      <c r="W57" s="26">
        <f t="shared" si="26"/>
        <v>95922.6684153799</v>
      </c>
      <c r="X57" s="26">
        <f t="shared" si="26"/>
        <v>92108.9130633601</v>
      </c>
      <c r="Y57" s="26">
        <f t="shared" si="26"/>
        <v>88185.0556625733</v>
      </c>
      <c r="Z57" s="26">
        <f t="shared" si="26"/>
        <v>77262.5605989316</v>
      </c>
      <c r="AA57" s="26">
        <f t="shared" si="26"/>
        <v>73203.0560292242</v>
      </c>
      <c r="AB57" s="26">
        <f t="shared" si="26"/>
        <v>69007.3031918322</v>
      </c>
      <c r="AC57" s="26">
        <f t="shared" si="26"/>
        <v>64666.2959559545</v>
      </c>
      <c r="AD57" s="26">
        <f t="shared" si="26"/>
        <v>62347.4619160081</v>
      </c>
      <c r="AE57" s="26">
        <f t="shared" si="26"/>
        <v>60022.8080344157</v>
      </c>
      <c r="AF57" s="26">
        <f t="shared" si="26"/>
        <v>57691.5338422006</v>
      </c>
      <c r="AG57" s="26">
        <f t="shared" si="26"/>
        <v>55352.8331509618</v>
      </c>
      <c r="AH57" s="26">
        <f t="shared" si="26"/>
        <v>53005.8937533872</v>
      </c>
      <c r="AI57" s="26">
        <f t="shared" si="26"/>
        <v>50649.8971200733</v>
      </c>
      <c r="AJ57" s="26">
        <f t="shared" si="26"/>
        <v>48284.0180925219</v>
      </c>
      <c r="AK57" s="26">
        <f t="shared" si="26"/>
        <v>45907.42457218</v>
      </c>
      <c r="AL57" s="26">
        <f t="shared" si="26"/>
        <v>43519.277205388</v>
      </c>
      <c r="AM57" s="26">
        <f t="shared" si="26"/>
        <v>41118.7290640982</v>
      </c>
    </row>
    <row r="58" spans="1:39">
      <c r="A58" s="20" t="s">
        <v>201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>
      <c r="A59" s="6" t="s">
        <v>202</v>
      </c>
      <c r="B59" s="12" t="s">
        <v>203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0.004232711114917</v>
      </c>
      <c r="J59" s="29">
        <v>0.00767458987297751</v>
      </c>
      <c r="K59" s="29">
        <v>0.00767458987297751</v>
      </c>
      <c r="L59" s="29">
        <v>0.0132567740778416</v>
      </c>
      <c r="M59" s="29">
        <v>0.0157626996521211</v>
      </c>
      <c r="N59" s="29">
        <v>0.018625446409493</v>
      </c>
      <c r="O59" s="29">
        <v>0.0510810239860175</v>
      </c>
      <c r="P59" s="29">
        <v>0.0907850165977395</v>
      </c>
      <c r="Q59" s="29">
        <v>0.120830097685601</v>
      </c>
      <c r="R59" s="29">
        <v>0.142896748625841</v>
      </c>
      <c r="S59" s="29">
        <v>0.164670270253297</v>
      </c>
      <c r="T59" s="29">
        <v>0.185435614556093</v>
      </c>
      <c r="U59" s="29">
        <v>0.206580445220687</v>
      </c>
      <c r="V59" s="29">
        <v>0.230516307111514</v>
      </c>
      <c r="W59" s="29">
        <v>0.253714278679489</v>
      </c>
      <c r="X59" s="29">
        <v>0.278363368396694</v>
      </c>
      <c r="Y59" s="29">
        <v>0.304871414740865</v>
      </c>
      <c r="Z59" s="29">
        <v>0.363441965340995</v>
      </c>
      <c r="AA59" s="29">
        <v>0.399324229591425</v>
      </c>
      <c r="AB59" s="29">
        <v>0.439719164023508</v>
      </c>
      <c r="AC59" s="29">
        <v>0.485889901901244</v>
      </c>
      <c r="AD59" s="29">
        <v>0.520722271760605</v>
      </c>
      <c r="AE59" s="29">
        <v>0.557816613145332</v>
      </c>
      <c r="AF59" s="29">
        <v>0.597508241833472</v>
      </c>
      <c r="AG59" s="29">
        <v>0.640187098509784</v>
      </c>
      <c r="AH59" s="29">
        <v>0.686311848175049</v>
      </c>
      <c r="AI59" s="29">
        <v>0.736427917540027</v>
      </c>
      <c r="AJ59" s="29">
        <v>0.791190985818059</v>
      </c>
      <c r="AK59" s="29">
        <v>0.851398091440237</v>
      </c>
      <c r="AL59" s="29">
        <v>0.918029512346955</v>
      </c>
      <c r="AM59" s="29">
        <v>0.992306133876202</v>
      </c>
    </row>
    <row r="60" spans="1:39">
      <c r="A60" s="9" t="s">
        <v>204</v>
      </c>
      <c r="B60" s="12" t="e">
        <f>工艺曲线×CCUS比例</f>
        <v>#NAME?</v>
      </c>
      <c r="C60" s="34">
        <f t="shared" ref="C60:AM60" si="27">C57*C59</f>
        <v>0</v>
      </c>
      <c r="D60" s="34">
        <f t="shared" si="27"/>
        <v>0</v>
      </c>
      <c r="E60" s="34">
        <f t="shared" si="27"/>
        <v>0</v>
      </c>
      <c r="F60" s="34">
        <f t="shared" si="27"/>
        <v>0</v>
      </c>
      <c r="G60" s="34">
        <f t="shared" si="27"/>
        <v>0</v>
      </c>
      <c r="H60" s="34">
        <f t="shared" si="27"/>
        <v>0</v>
      </c>
      <c r="I60" s="34">
        <f t="shared" si="27"/>
        <v>649.999998129449</v>
      </c>
      <c r="J60" s="34">
        <f t="shared" si="27"/>
        <v>1160.49997134904</v>
      </c>
      <c r="K60" s="34">
        <f t="shared" si="27"/>
        <v>1104.93323753869</v>
      </c>
      <c r="L60" s="34">
        <f t="shared" si="27"/>
        <v>1879.39863514707</v>
      </c>
      <c r="M60" s="34">
        <f t="shared" si="27"/>
        <v>2197.54653086912</v>
      </c>
      <c r="N60" s="34">
        <f t="shared" si="27"/>
        <v>2499.87501023089</v>
      </c>
      <c r="O60" s="34">
        <f t="shared" si="27"/>
        <v>6548.16312151117</v>
      </c>
      <c r="P60" s="34">
        <f t="shared" si="27"/>
        <v>11217.0653162381</v>
      </c>
      <c r="Q60" s="34">
        <f t="shared" si="27"/>
        <v>14433.70512131</v>
      </c>
      <c r="R60" s="34">
        <f t="shared" si="27"/>
        <v>16479.4990031082</v>
      </c>
      <c r="S60" s="34">
        <f t="shared" si="27"/>
        <v>18304.9131824905</v>
      </c>
      <c r="T60" s="34">
        <f t="shared" si="27"/>
        <v>19971.9669639734</v>
      </c>
      <c r="U60" s="34">
        <f t="shared" si="27"/>
        <v>21517.8988899333</v>
      </c>
      <c r="V60" s="34">
        <f t="shared" si="27"/>
        <v>22967.1845175224</v>
      </c>
      <c r="W60" s="34">
        <f t="shared" si="27"/>
        <v>24336.9506260199</v>
      </c>
      <c r="X60" s="34">
        <f t="shared" si="27"/>
        <v>25639.7472996752</v>
      </c>
      <c r="Y60" s="34">
        <f t="shared" si="27"/>
        <v>26885.1026788506</v>
      </c>
      <c r="Z60" s="34">
        <f t="shared" si="27"/>
        <v>28080.4568713535</v>
      </c>
      <c r="AA60" s="34">
        <f t="shared" si="27"/>
        <v>29231.7539526079</v>
      </c>
      <c r="AB60" s="34">
        <f t="shared" si="27"/>
        <v>30343.8336710292</v>
      </c>
      <c r="AC60" s="34">
        <f t="shared" si="27"/>
        <v>31420.7001983556</v>
      </c>
      <c r="AD60" s="34">
        <f t="shared" si="27"/>
        <v>32465.7120074115</v>
      </c>
      <c r="AE60" s="34">
        <f t="shared" si="27"/>
        <v>33481.7194892302</v>
      </c>
      <c r="AF60" s="34">
        <f t="shared" si="27"/>
        <v>34471.1669547295</v>
      </c>
      <c r="AG60" s="34">
        <f t="shared" si="27"/>
        <v>35436.1696492104</v>
      </c>
      <c r="AH60" s="34">
        <f t="shared" si="27"/>
        <v>36378.5729060575</v>
      </c>
      <c r="AI60" s="34">
        <f t="shared" si="27"/>
        <v>37299.9982597522</v>
      </c>
      <c r="AJ60" s="34">
        <f t="shared" si="27"/>
        <v>38201.8798738794</v>
      </c>
      <c r="AK60" s="34">
        <f t="shared" si="27"/>
        <v>39085.4936636907</v>
      </c>
      <c r="AL60" s="34">
        <f t="shared" si="27"/>
        <v>39951.9808305543</v>
      </c>
      <c r="AM60" s="34">
        <f t="shared" si="27"/>
        <v>40802.3670674983</v>
      </c>
    </row>
    <row r="61" spans="1:39">
      <c r="A61" s="20" t="s">
        <v>205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>
      <c r="A62" s="9" t="s">
        <v>52</v>
      </c>
      <c r="B62" s="12" t="e">
        <f>工艺曲线-CCUS</f>
        <v>#NAME?</v>
      </c>
      <c r="C62" s="34">
        <f t="shared" ref="C62:AM62" si="28">C57-C60</f>
        <v>195992.549558073</v>
      </c>
      <c r="D62" s="34">
        <f t="shared" si="28"/>
        <v>183047.710185754</v>
      </c>
      <c r="E62" s="34">
        <f t="shared" si="28"/>
        <v>178017.78258482</v>
      </c>
      <c r="F62" s="34">
        <f t="shared" si="28"/>
        <v>173560.932843831</v>
      </c>
      <c r="G62" s="34">
        <f t="shared" si="28"/>
        <v>166260.32704359</v>
      </c>
      <c r="H62" s="34">
        <f t="shared" si="28"/>
        <v>159200.304665674</v>
      </c>
      <c r="I62" s="34">
        <f t="shared" si="28"/>
        <v>152915.877871189</v>
      </c>
      <c r="J62" s="34">
        <f t="shared" si="28"/>
        <v>150052.788368032</v>
      </c>
      <c r="K62" s="34">
        <f t="shared" si="28"/>
        <v>142868.002883674</v>
      </c>
      <c r="L62" s="34">
        <f t="shared" si="28"/>
        <v>139889.528263022</v>
      </c>
      <c r="M62" s="34">
        <f t="shared" si="28"/>
        <v>137216.803762445</v>
      </c>
      <c r="N62" s="34">
        <f t="shared" si="28"/>
        <v>131718.385066304</v>
      </c>
      <c r="O62" s="34">
        <f t="shared" si="28"/>
        <v>121643.533335154</v>
      </c>
      <c r="P62" s="34">
        <f t="shared" si="28"/>
        <v>112339.285022276</v>
      </c>
      <c r="Q62" s="34">
        <f t="shared" si="28"/>
        <v>105020.846333796</v>
      </c>
      <c r="R62" s="34">
        <f t="shared" si="28"/>
        <v>98845.0214046863</v>
      </c>
      <c r="S62" s="34">
        <f t="shared" si="28"/>
        <v>92856.0945351368</v>
      </c>
      <c r="T62" s="34">
        <f t="shared" si="28"/>
        <v>87731.0059076805</v>
      </c>
      <c r="U62" s="34">
        <f t="shared" si="28"/>
        <v>82644.4232841042</v>
      </c>
      <c r="V62" s="34">
        <f t="shared" si="28"/>
        <v>76666.4804726592</v>
      </c>
      <c r="W62" s="34">
        <f t="shared" si="28"/>
        <v>71585.71778936</v>
      </c>
      <c r="X62" s="34">
        <f t="shared" si="28"/>
        <v>66469.1657636849</v>
      </c>
      <c r="Y62" s="34">
        <f t="shared" si="28"/>
        <v>61299.9529837227</v>
      </c>
      <c r="Z62" s="34">
        <f t="shared" si="28"/>
        <v>49182.1037275782</v>
      </c>
      <c r="AA62" s="34">
        <f t="shared" si="28"/>
        <v>43971.3020766163</v>
      </c>
      <c r="AB62" s="34">
        <f t="shared" si="28"/>
        <v>38663.469520803</v>
      </c>
      <c r="AC62" s="34">
        <f t="shared" si="28"/>
        <v>33245.5957575989</v>
      </c>
      <c r="AD62" s="34">
        <f t="shared" si="28"/>
        <v>29881.7499085965</v>
      </c>
      <c r="AE62" s="34">
        <f t="shared" si="28"/>
        <v>26541.0885451855</v>
      </c>
      <c r="AF62" s="34">
        <f t="shared" si="28"/>
        <v>23220.366887471</v>
      </c>
      <c r="AG62" s="34">
        <f t="shared" si="28"/>
        <v>19916.6635017514</v>
      </c>
      <c r="AH62" s="34">
        <f t="shared" si="28"/>
        <v>16627.3208473298</v>
      </c>
      <c r="AI62" s="34">
        <f t="shared" si="28"/>
        <v>13349.8988603211</v>
      </c>
      <c r="AJ62" s="34">
        <f t="shared" si="28"/>
        <v>10082.1382186425</v>
      </c>
      <c r="AK62" s="34">
        <f t="shared" si="28"/>
        <v>6821.93090848928</v>
      </c>
      <c r="AL62" s="34">
        <f t="shared" si="28"/>
        <v>3567.29637483368</v>
      </c>
      <c r="AM62" s="34">
        <f t="shared" si="28"/>
        <v>316.361996599873</v>
      </c>
    </row>
    <row r="63" spans="1:39">
      <c r="A63" s="9" t="s">
        <v>56</v>
      </c>
      <c r="B63" s="12" t="e">
        <f>碳排放总量/粗钢产量</f>
        <v>#NAME?</v>
      </c>
      <c r="C63" s="35">
        <f t="shared" ref="C63:AM63" si="29">IF(C13&gt;0,C62/C13,0)</f>
        <v>1.94999999560311</v>
      </c>
      <c r="D63" s="35">
        <f t="shared" si="29"/>
        <v>1.90513951963191</v>
      </c>
      <c r="E63" s="35">
        <f t="shared" si="29"/>
        <v>1.89875788489753</v>
      </c>
      <c r="F63" s="35">
        <f t="shared" si="29"/>
        <v>1.89715098957212</v>
      </c>
      <c r="G63" s="35">
        <f t="shared" si="29"/>
        <v>1.86243990873309</v>
      </c>
      <c r="H63" s="35">
        <f t="shared" si="29"/>
        <v>1.82760042783417</v>
      </c>
      <c r="I63" s="35">
        <f t="shared" si="29"/>
        <v>1.79901032789634</v>
      </c>
      <c r="J63" s="35">
        <f t="shared" si="29"/>
        <v>1.78074687367058</v>
      </c>
      <c r="K63" s="35">
        <f t="shared" si="29"/>
        <v>1.71029151216145</v>
      </c>
      <c r="L63" s="35">
        <f t="shared" si="29"/>
        <v>1.68926357764449</v>
      </c>
      <c r="M63" s="35">
        <f t="shared" si="29"/>
        <v>1.67146219315015</v>
      </c>
      <c r="N63" s="35">
        <f t="shared" si="29"/>
        <v>1.61849999467092</v>
      </c>
      <c r="O63" s="35">
        <f t="shared" si="29"/>
        <v>1.52954453846508</v>
      </c>
      <c r="P63" s="35">
        <f t="shared" si="29"/>
        <v>1.44547822237318</v>
      </c>
      <c r="Q63" s="35">
        <f t="shared" si="29"/>
        <v>1.38280903207591</v>
      </c>
      <c r="R63" s="35">
        <f t="shared" si="29"/>
        <v>1.33182845586756</v>
      </c>
      <c r="S63" s="35">
        <f t="shared" si="29"/>
        <v>1.28029691749468</v>
      </c>
      <c r="T63" s="35">
        <f t="shared" si="29"/>
        <v>1.22895024835605</v>
      </c>
      <c r="U63" s="35">
        <f t="shared" si="29"/>
        <v>1.17618504362088</v>
      </c>
      <c r="V63" s="35">
        <f t="shared" si="29"/>
        <v>1.10853276023489</v>
      </c>
      <c r="W63" s="35">
        <f t="shared" si="29"/>
        <v>1.05159931888833</v>
      </c>
      <c r="X63" s="35">
        <f t="shared" si="29"/>
        <v>0.992030550197</v>
      </c>
      <c r="Y63" s="35">
        <f t="shared" si="29"/>
        <v>0.929492450103362</v>
      </c>
      <c r="Z63" s="35">
        <f t="shared" si="29"/>
        <v>0.757658906736895</v>
      </c>
      <c r="AA63" s="35">
        <f t="shared" si="29"/>
        <v>0.688203479683257</v>
      </c>
      <c r="AB63" s="35">
        <f t="shared" si="29"/>
        <v>0.614793501092102</v>
      </c>
      <c r="AC63" s="35">
        <f t="shared" si="29"/>
        <v>0.537085553434555</v>
      </c>
      <c r="AD63" s="35">
        <f t="shared" si="29"/>
        <v>0.490547578609117</v>
      </c>
      <c r="AE63" s="35">
        <f t="shared" si="29"/>
        <v>0.442751049422215</v>
      </c>
      <c r="AF63" s="35">
        <f t="shared" si="29"/>
        <v>0.393618683519611</v>
      </c>
      <c r="AG63" s="35">
        <f t="shared" si="29"/>
        <v>0.343074920722841</v>
      </c>
      <c r="AH63" s="35">
        <f t="shared" si="29"/>
        <v>0.291045186916786</v>
      </c>
      <c r="AI63" s="35">
        <f t="shared" si="29"/>
        <v>0.23745530610119</v>
      </c>
      <c r="AJ63" s="35">
        <f t="shared" si="29"/>
        <v>0.182231021177834</v>
      </c>
      <c r="AK63" s="35">
        <f t="shared" si="29"/>
        <v>0.125297595601925</v>
      </c>
      <c r="AL63" s="35">
        <f t="shared" si="29"/>
        <v>0.0665794758370608</v>
      </c>
      <c r="AM63" s="35">
        <f t="shared" si="29"/>
        <v>0.0059999999355145</v>
      </c>
    </row>
    <row r="64" spans="1:39">
      <c r="A64" s="6" t="s">
        <v>206</v>
      </c>
      <c r="B64" s="12" t="e">
        <f>(当年-1.95)/1.95</f>
        <v>#NAME?</v>
      </c>
      <c r="C64" s="25">
        <f t="shared" ref="C64:AM64" si="30">(C63-1.95)/1.95</f>
        <v>-2.25481661831923e-9</v>
      </c>
      <c r="D64" s="25">
        <f t="shared" si="30"/>
        <v>-0.0230053745477362</v>
      </c>
      <c r="E64" s="25">
        <f t="shared" si="30"/>
        <v>-0.026278007744856</v>
      </c>
      <c r="F64" s="25">
        <f t="shared" si="30"/>
        <v>-0.0271020566296836</v>
      </c>
      <c r="G64" s="25">
        <f t="shared" si="30"/>
        <v>-0.0449026109061059</v>
      </c>
      <c r="H64" s="25">
        <f t="shared" si="30"/>
        <v>-0.0627690113670925</v>
      </c>
      <c r="I64" s="25">
        <f t="shared" si="30"/>
        <v>-0.077430601078801</v>
      </c>
      <c r="J64" s="25">
        <f t="shared" si="30"/>
        <v>-0.0867964750407257</v>
      </c>
      <c r="K64" s="25">
        <f t="shared" si="30"/>
        <v>-0.122927429660796</v>
      </c>
      <c r="L64" s="25">
        <f t="shared" si="30"/>
        <v>-0.133710985823336</v>
      </c>
      <c r="M64" s="25">
        <f t="shared" si="30"/>
        <v>-0.142839900948642</v>
      </c>
      <c r="N64" s="25">
        <f t="shared" si="30"/>
        <v>-0.170000002732859</v>
      </c>
      <c r="O64" s="25">
        <f t="shared" si="30"/>
        <v>-0.215618185402521</v>
      </c>
      <c r="P64" s="25">
        <f t="shared" si="30"/>
        <v>-0.258729116731701</v>
      </c>
      <c r="Q64" s="25">
        <f t="shared" si="30"/>
        <v>-0.290867163037995</v>
      </c>
      <c r="R64" s="25">
        <f t="shared" si="30"/>
        <v>-0.317011048273047</v>
      </c>
      <c r="S64" s="25">
        <f t="shared" si="30"/>
        <v>-0.343437478207856</v>
      </c>
      <c r="T64" s="25">
        <f t="shared" si="30"/>
        <v>-0.369769103407152</v>
      </c>
      <c r="U64" s="25">
        <f t="shared" si="30"/>
        <v>-0.396828182758521</v>
      </c>
      <c r="V64" s="25">
        <f t="shared" si="30"/>
        <v>-0.431521661418007</v>
      </c>
      <c r="W64" s="25">
        <f t="shared" si="30"/>
        <v>-0.460718298005987</v>
      </c>
      <c r="X64" s="25">
        <f t="shared" si="30"/>
        <v>-0.491266384514359</v>
      </c>
      <c r="Y64" s="25">
        <f t="shared" si="30"/>
        <v>-0.523337205075199</v>
      </c>
      <c r="Z64" s="25">
        <f t="shared" si="30"/>
        <v>-0.611456970904156</v>
      </c>
      <c r="AA64" s="25">
        <f t="shared" si="30"/>
        <v>-0.647075138623971</v>
      </c>
      <c r="AB64" s="25">
        <f t="shared" si="30"/>
        <v>-0.68472128149123</v>
      </c>
      <c r="AC64" s="25">
        <f t="shared" si="30"/>
        <v>-0.724571511059203</v>
      </c>
      <c r="AD64" s="25">
        <f t="shared" si="30"/>
        <v>-0.748437139174812</v>
      </c>
      <c r="AE64" s="25">
        <f t="shared" si="30"/>
        <v>-0.772948179783479</v>
      </c>
      <c r="AF64" s="25">
        <f t="shared" si="30"/>
        <v>-0.798144264861738</v>
      </c>
      <c r="AG64" s="25">
        <f t="shared" si="30"/>
        <v>-0.824064143219056</v>
      </c>
      <c r="AH64" s="25">
        <f t="shared" si="30"/>
        <v>-0.850746057991392</v>
      </c>
      <c r="AI64" s="25">
        <f t="shared" si="30"/>
        <v>-0.878228048153236</v>
      </c>
      <c r="AJ64" s="25">
        <f t="shared" si="30"/>
        <v>-0.906548194267778</v>
      </c>
      <c r="AK64" s="25">
        <f t="shared" si="30"/>
        <v>-0.935744822768244</v>
      </c>
      <c r="AL64" s="25">
        <f t="shared" si="30"/>
        <v>-0.965856679057917</v>
      </c>
      <c r="AM64" s="25">
        <f t="shared" si="30"/>
        <v>-0.996923076956146</v>
      </c>
    </row>
    <row r="65" spans="1:39">
      <c r="A65" s="6" t="s">
        <v>207</v>
      </c>
      <c r="B65" s="12" t="e">
        <f>碳排放/(全国排放×10000)</f>
        <v>#NAME?</v>
      </c>
      <c r="C65" s="25">
        <f t="shared" ref="C65:AM65" si="31">C62/(C9*10000)</f>
        <v>0.184030562965326</v>
      </c>
      <c r="D65" s="25">
        <f t="shared" si="31"/>
        <v>0.169488620542365</v>
      </c>
      <c r="E65" s="25">
        <f t="shared" si="31"/>
        <v>0.161834347804381</v>
      </c>
      <c r="F65" s="25">
        <f t="shared" si="31"/>
        <v>0.154965118610564</v>
      </c>
      <c r="G65" s="25">
        <f t="shared" si="31"/>
        <v>0.144574197429209</v>
      </c>
      <c r="H65" s="25">
        <f t="shared" si="31"/>
        <v>0.136068636466388</v>
      </c>
      <c r="I65" s="25">
        <f t="shared" si="31"/>
        <v>0.129589727009482</v>
      </c>
      <c r="J65" s="25">
        <f t="shared" si="31"/>
        <v>0.128250246468403</v>
      </c>
      <c r="K65" s="25">
        <f t="shared" si="31"/>
        <v>0.123695240591925</v>
      </c>
      <c r="L65" s="25">
        <f t="shared" si="31"/>
        <v>0.123250685694293</v>
      </c>
      <c r="M65" s="25">
        <f t="shared" si="31"/>
        <v>0.123618742128329</v>
      </c>
      <c r="N65" s="25">
        <f t="shared" si="31"/>
        <v>0.120842555106701</v>
      </c>
      <c r="O65" s="25">
        <f t="shared" si="31"/>
        <v>0.114219280126905</v>
      </c>
      <c r="P65" s="25">
        <f t="shared" si="31"/>
        <v>0.108540372002199</v>
      </c>
      <c r="Q65" s="25">
        <f t="shared" si="31"/>
        <v>0.105020846333796</v>
      </c>
      <c r="R65" s="25">
        <f t="shared" si="31"/>
        <v>0.102963563963215</v>
      </c>
      <c r="S65" s="25">
        <f t="shared" si="31"/>
        <v>0.100930537538192</v>
      </c>
      <c r="T65" s="25">
        <f t="shared" si="31"/>
        <v>0.100264006751635</v>
      </c>
      <c r="U65" s="25">
        <f t="shared" si="31"/>
        <v>0.0995715943181978</v>
      </c>
      <c r="V65" s="25">
        <f t="shared" si="31"/>
        <v>0.0976643063345977</v>
      </c>
      <c r="W65" s="25">
        <f t="shared" si="31"/>
        <v>0.096737456472108</v>
      </c>
      <c r="X65" s="25">
        <f t="shared" si="31"/>
        <v>0.0956390874297625</v>
      </c>
      <c r="Y65" s="25">
        <f t="shared" si="31"/>
        <v>0.094307619974958</v>
      </c>
      <c r="Z65" s="25">
        <f t="shared" si="31"/>
        <v>0.0812927334340135</v>
      </c>
      <c r="AA65" s="25">
        <f t="shared" si="31"/>
        <v>0.078520182279672</v>
      </c>
      <c r="AB65" s="25">
        <f t="shared" si="31"/>
        <v>0.0750746980986465</v>
      </c>
      <c r="AC65" s="25">
        <f t="shared" si="31"/>
        <v>0.070735310122551</v>
      </c>
      <c r="AD65" s="25">
        <f t="shared" si="31"/>
        <v>0.0694924416478989</v>
      </c>
      <c r="AE65" s="25">
        <f t="shared" si="31"/>
        <v>0.0680540731927834</v>
      </c>
      <c r="AF65" s="25">
        <f t="shared" si="31"/>
        <v>0.0654094841900593</v>
      </c>
      <c r="AG65" s="25">
        <f t="shared" si="31"/>
        <v>0.0622395734429731</v>
      </c>
      <c r="AH65" s="25">
        <f t="shared" si="31"/>
        <v>0.0573355891287233</v>
      </c>
      <c r="AI65" s="25">
        <f t="shared" si="31"/>
        <v>0.0503769768314005</v>
      </c>
      <c r="AJ65" s="25">
        <f t="shared" si="31"/>
        <v>0.0411515845658876</v>
      </c>
      <c r="AK65" s="25">
        <f t="shared" si="31"/>
        <v>0.0296605691673447</v>
      </c>
      <c r="AL65" s="25">
        <f t="shared" si="31"/>
        <v>0.0162149835219713</v>
      </c>
      <c r="AM65" s="25">
        <f t="shared" si="31"/>
        <v>0.00150648569809463</v>
      </c>
    </row>
  </sheetData>
  <mergeCells count="20">
    <mergeCell ref="A1:J1"/>
    <mergeCell ref="A2:J2"/>
    <mergeCell ref="AP4:AQ4"/>
    <mergeCell ref="A5:AM5"/>
    <mergeCell ref="AP11:AQ11"/>
    <mergeCell ref="A12:AM12"/>
    <mergeCell ref="A14:AM14"/>
    <mergeCell ref="A21:AM21"/>
    <mergeCell ref="AP25:AQ25"/>
    <mergeCell ref="A30:AM30"/>
    <mergeCell ref="A34:AM34"/>
    <mergeCell ref="A39:AM39"/>
    <mergeCell ref="A40:AM40"/>
    <mergeCell ref="A43:AM43"/>
    <mergeCell ref="A46:AM46"/>
    <mergeCell ref="A49:AM49"/>
    <mergeCell ref="A52:AM52"/>
    <mergeCell ref="A55:AM55"/>
    <mergeCell ref="A58:AM58"/>
    <mergeCell ref="A61:AM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Q65"/>
  <sheetViews>
    <sheetView tabSelected="1" workbookViewId="0">
      <selection activeCell="N42" sqref="N42"/>
    </sheetView>
  </sheetViews>
  <sheetFormatPr defaultColWidth="9" defaultRowHeight="16.8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ht="20.4" spans="1:10">
      <c r="A1" s="1" t="s">
        <v>209</v>
      </c>
      <c r="B1" s="2"/>
      <c r="C1" s="2"/>
      <c r="D1" s="2"/>
      <c r="E1" s="2"/>
      <c r="F1" s="2"/>
      <c r="G1" s="2"/>
      <c r="H1" s="2"/>
      <c r="I1" s="2"/>
      <c r="J1" s="11"/>
    </row>
    <row r="2" spans="1:10">
      <c r="A2" s="13" t="s">
        <v>108</v>
      </c>
      <c r="B2" s="2"/>
      <c r="C2" s="2"/>
      <c r="D2" s="2"/>
      <c r="E2" s="2"/>
      <c r="F2" s="2"/>
      <c r="G2" s="2"/>
      <c r="H2" s="2"/>
      <c r="I2" s="2"/>
      <c r="J2" s="11"/>
    </row>
    <row r="4" ht="17" spans="1:43">
      <c r="A4" s="5" t="s">
        <v>15</v>
      </c>
      <c r="B4" s="5" t="s">
        <v>109</v>
      </c>
      <c r="C4" s="5">
        <v>2024</v>
      </c>
      <c r="D4" s="5">
        <v>2025</v>
      </c>
      <c r="E4" s="5">
        <v>2026</v>
      </c>
      <c r="F4" s="5">
        <v>2027</v>
      </c>
      <c r="G4" s="5">
        <v>2028</v>
      </c>
      <c r="H4" s="5">
        <v>2029</v>
      </c>
      <c r="I4" s="5">
        <v>2030</v>
      </c>
      <c r="J4" s="5">
        <v>2031</v>
      </c>
      <c r="K4" s="5">
        <v>2032</v>
      </c>
      <c r="L4" s="5">
        <v>2033</v>
      </c>
      <c r="M4" s="5">
        <v>2034</v>
      </c>
      <c r="N4" s="5">
        <v>2035</v>
      </c>
      <c r="O4" s="5">
        <v>2036</v>
      </c>
      <c r="P4" s="5">
        <v>2037</v>
      </c>
      <c r="Q4" s="5">
        <v>2038</v>
      </c>
      <c r="R4" s="5">
        <v>2039</v>
      </c>
      <c r="S4" s="5">
        <v>2040</v>
      </c>
      <c r="T4" s="5">
        <v>2041</v>
      </c>
      <c r="U4" s="5">
        <v>2042</v>
      </c>
      <c r="V4" s="5">
        <v>2043</v>
      </c>
      <c r="W4" s="5">
        <v>2044</v>
      </c>
      <c r="X4" s="5">
        <v>2045</v>
      </c>
      <c r="Y4" s="5">
        <v>2046</v>
      </c>
      <c r="Z4" s="5">
        <v>2047</v>
      </c>
      <c r="AA4" s="5">
        <v>2048</v>
      </c>
      <c r="AB4" s="5">
        <v>2049</v>
      </c>
      <c r="AC4" s="5">
        <v>2050</v>
      </c>
      <c r="AD4" s="5">
        <v>2051</v>
      </c>
      <c r="AE4" s="5">
        <v>2052</v>
      </c>
      <c r="AF4" s="5">
        <v>2053</v>
      </c>
      <c r="AG4" s="5">
        <v>2054</v>
      </c>
      <c r="AH4" s="5">
        <v>2055</v>
      </c>
      <c r="AI4" s="5">
        <v>2056</v>
      </c>
      <c r="AJ4" s="5">
        <v>2057</v>
      </c>
      <c r="AK4" s="5">
        <v>2058</v>
      </c>
      <c r="AL4" s="5">
        <v>2059</v>
      </c>
      <c r="AM4" s="5">
        <v>2060</v>
      </c>
      <c r="AP4" s="36" t="s">
        <v>110</v>
      </c>
      <c r="AQ4" s="11"/>
    </row>
    <row r="5" ht="17.6" spans="1:43">
      <c r="A5" s="3" t="s">
        <v>111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P5" s="5" t="s">
        <v>112</v>
      </c>
      <c r="AQ5" s="5" t="s">
        <v>113</v>
      </c>
    </row>
    <row r="6" spans="1:43">
      <c r="A6" s="20" t="s">
        <v>114</v>
      </c>
      <c r="B6" s="12" t="s">
        <v>115</v>
      </c>
      <c r="C6" s="21">
        <v>4.9</v>
      </c>
      <c r="D6" s="21">
        <v>4.5</v>
      </c>
      <c r="E6" s="21">
        <v>4.3</v>
      </c>
      <c r="F6" s="21">
        <v>4.1</v>
      </c>
      <c r="G6" s="21">
        <v>3.9</v>
      </c>
      <c r="H6" s="21">
        <v>3.7</v>
      </c>
      <c r="I6" s="21">
        <v>3.5</v>
      </c>
      <c r="J6" s="21">
        <v>3.3</v>
      </c>
      <c r="K6" s="21">
        <v>3.1</v>
      </c>
      <c r="L6" s="21">
        <v>3</v>
      </c>
      <c r="M6" s="21">
        <v>2.8</v>
      </c>
      <c r="N6" s="21">
        <v>2.7</v>
      </c>
      <c r="O6" s="21">
        <v>2.5</v>
      </c>
      <c r="P6" s="21">
        <v>2.4</v>
      </c>
      <c r="Q6" s="21">
        <v>2.2</v>
      </c>
      <c r="R6" s="21">
        <v>2.1</v>
      </c>
      <c r="S6" s="21">
        <v>2</v>
      </c>
      <c r="T6" s="21">
        <v>1.8</v>
      </c>
      <c r="U6" s="21">
        <v>1.7</v>
      </c>
      <c r="V6" s="21">
        <v>1.6</v>
      </c>
      <c r="W6" s="21">
        <v>1.5</v>
      </c>
      <c r="X6" s="21">
        <v>1.5</v>
      </c>
      <c r="Y6" s="21">
        <v>1.3</v>
      </c>
      <c r="Z6" s="21">
        <v>1.2</v>
      </c>
      <c r="AA6" s="21">
        <v>1.1</v>
      </c>
      <c r="AB6" s="21">
        <v>1</v>
      </c>
      <c r="AC6" s="21">
        <v>1</v>
      </c>
      <c r="AD6" s="21">
        <v>0.8</v>
      </c>
      <c r="AE6" s="21">
        <v>0.7</v>
      </c>
      <c r="AF6" s="21">
        <v>0.6</v>
      </c>
      <c r="AG6" s="21">
        <v>0.6</v>
      </c>
      <c r="AH6" s="21">
        <v>0.5</v>
      </c>
      <c r="AI6" s="21">
        <v>0.4</v>
      </c>
      <c r="AJ6" s="21">
        <v>0.4</v>
      </c>
      <c r="AK6" s="21">
        <v>0.3</v>
      </c>
      <c r="AL6" s="21">
        <v>0.3</v>
      </c>
      <c r="AM6" s="21">
        <v>0.2</v>
      </c>
      <c r="AP6" s="7" t="s">
        <v>44</v>
      </c>
      <c r="AQ6" s="37" t="s">
        <v>45</v>
      </c>
    </row>
    <row r="7" spans="1:43">
      <c r="A7" s="20" t="s">
        <v>116</v>
      </c>
      <c r="B7" s="12" t="s">
        <v>117</v>
      </c>
      <c r="C7" s="22">
        <v>124.92</v>
      </c>
      <c r="D7" s="22">
        <v>130.54</v>
      </c>
      <c r="E7" s="22">
        <v>135.627666872074</v>
      </c>
      <c r="F7" s="22">
        <v>140.913620508368</v>
      </c>
      <c r="G7" s="22">
        <v>146.405588938615</v>
      </c>
      <c r="H7" s="22">
        <v>152.111601384834</v>
      </c>
      <c r="I7" s="22">
        <v>158.04</v>
      </c>
      <c r="J7" s="22">
        <v>162.748904063458</v>
      </c>
      <c r="K7" s="22">
        <v>167.598112970493</v>
      </c>
      <c r="L7" s="22">
        <v>172.591807194706</v>
      </c>
      <c r="M7" s="22">
        <v>177.734291769616</v>
      </c>
      <c r="N7" s="22">
        <v>183.03</v>
      </c>
      <c r="O7" s="22">
        <v>187.130140285199</v>
      </c>
      <c r="P7" s="22">
        <v>191.322129722769</v>
      </c>
      <c r="Q7" s="22">
        <v>195.608025868354</v>
      </c>
      <c r="R7" s="22">
        <v>199.989932369863</v>
      </c>
      <c r="S7" s="22">
        <v>204.47</v>
      </c>
      <c r="T7" s="22">
        <v>207.272656009724</v>
      </c>
      <c r="U7" s="22">
        <v>210.113727829635</v>
      </c>
      <c r="V7" s="22">
        <v>212.993742022559</v>
      </c>
      <c r="W7" s="22">
        <v>215.913232368884</v>
      </c>
      <c r="X7" s="22">
        <v>218.872739965488</v>
      </c>
      <c r="Y7" s="22">
        <v>221.872813326025</v>
      </c>
      <c r="Z7" s="22">
        <v>224.914008482589</v>
      </c>
      <c r="AA7" s="22">
        <v>227.996889088765</v>
      </c>
      <c r="AB7" s="22">
        <v>231.1220265241</v>
      </c>
      <c r="AC7" s="22">
        <v>234.29</v>
      </c>
      <c r="AD7" s="22">
        <v>235.41536136499</v>
      </c>
      <c r="AE7" s="22">
        <v>236.546128160009</v>
      </c>
      <c r="AF7" s="22">
        <v>237.682326348874</v>
      </c>
      <c r="AG7" s="22">
        <v>238.82398202011</v>
      </c>
      <c r="AH7" s="22">
        <v>239.971121387554</v>
      </c>
      <c r="AI7" s="22">
        <v>241.123770790954</v>
      </c>
      <c r="AJ7" s="22">
        <v>242.281956696579</v>
      </c>
      <c r="AK7" s="22">
        <v>243.445705697818</v>
      </c>
      <c r="AL7" s="22">
        <v>244.6150445158</v>
      </c>
      <c r="AM7" s="22">
        <v>245.79</v>
      </c>
      <c r="AP7" s="7" t="s">
        <v>48</v>
      </c>
      <c r="AQ7" s="37" t="s">
        <v>49</v>
      </c>
    </row>
    <row r="8" spans="1:43">
      <c r="A8" s="20" t="s">
        <v>118</v>
      </c>
      <c r="B8" s="12" t="s">
        <v>119</v>
      </c>
      <c r="C8" s="22">
        <v>14.08</v>
      </c>
      <c r="D8" s="22">
        <v>14.08</v>
      </c>
      <c r="E8" s="22">
        <v>14.0539034418663</v>
      </c>
      <c r="F8" s="22">
        <v>14.0278552523652</v>
      </c>
      <c r="G8" s="22">
        <v>14.0018553418479</v>
      </c>
      <c r="H8" s="22">
        <v>13.9759036208318</v>
      </c>
      <c r="I8" s="22">
        <v>13.95</v>
      </c>
      <c r="J8" s="22">
        <v>13.9097686160443</v>
      </c>
      <c r="K8" s="22">
        <v>13.8696532582</v>
      </c>
      <c r="L8" s="22">
        <v>13.8296535918514</v>
      </c>
      <c r="M8" s="22">
        <v>13.7897692833476</v>
      </c>
      <c r="N8" s="22">
        <v>13.75</v>
      </c>
      <c r="O8" s="22">
        <v>13.6996323454979</v>
      </c>
      <c r="P8" s="22">
        <v>13.6494491928591</v>
      </c>
      <c r="Q8" s="22">
        <v>13.5994498662344</v>
      </c>
      <c r="R8" s="22">
        <v>13.5496336922503</v>
      </c>
      <c r="S8" s="22">
        <v>13.5</v>
      </c>
      <c r="T8" s="22">
        <v>13.434592209784</v>
      </c>
      <c r="U8" s="22">
        <v>13.3695013217176</v>
      </c>
      <c r="V8" s="22">
        <v>13.3047258004033</v>
      </c>
      <c r="W8" s="22">
        <v>13.2402641178822</v>
      </c>
      <c r="X8" s="22">
        <v>13.1761147535987</v>
      </c>
      <c r="Y8" s="22">
        <v>13.1122761943641</v>
      </c>
      <c r="Z8" s="22">
        <v>13.0487469343215</v>
      </c>
      <c r="AA8" s="22">
        <v>12.9855254749095</v>
      </c>
      <c r="AB8" s="22">
        <v>12.9226103248274</v>
      </c>
      <c r="AC8" s="22">
        <v>12.86</v>
      </c>
      <c r="AD8" s="22">
        <v>12.7829557644941</v>
      </c>
      <c r="AE8" s="22">
        <v>12.7063731008563</v>
      </c>
      <c r="AF8" s="22">
        <v>12.6302492438105</v>
      </c>
      <c r="AG8" s="22">
        <v>12.5545814446473</v>
      </c>
      <c r="AH8" s="22">
        <v>12.4793669711248</v>
      </c>
      <c r="AI8" s="22">
        <v>12.4046031073698</v>
      </c>
      <c r="AJ8" s="22">
        <v>12.3302871537803</v>
      </c>
      <c r="AK8" s="22">
        <v>12.2564164269271</v>
      </c>
      <c r="AL8" s="22">
        <v>12.1829882594578</v>
      </c>
      <c r="AM8" s="22">
        <v>12.11</v>
      </c>
      <c r="AP8" s="7" t="s">
        <v>52</v>
      </c>
      <c r="AQ8" s="37" t="s">
        <v>53</v>
      </c>
    </row>
    <row r="9" spans="1:43">
      <c r="A9" s="20" t="s">
        <v>120</v>
      </c>
      <c r="B9" s="12" t="s">
        <v>121</v>
      </c>
      <c r="C9" s="22">
        <v>106.5</v>
      </c>
      <c r="D9" s="22">
        <v>108</v>
      </c>
      <c r="E9" s="22">
        <v>110</v>
      </c>
      <c r="F9" s="22">
        <v>112</v>
      </c>
      <c r="G9" s="22">
        <v>115</v>
      </c>
      <c r="H9" s="22">
        <v>117</v>
      </c>
      <c r="I9" s="22">
        <v>118</v>
      </c>
      <c r="J9" s="22">
        <v>117</v>
      </c>
      <c r="K9" s="22">
        <v>115.5</v>
      </c>
      <c r="L9" s="22">
        <v>113.5</v>
      </c>
      <c r="M9" s="22">
        <v>111</v>
      </c>
      <c r="N9" s="22">
        <v>109</v>
      </c>
      <c r="O9" s="22">
        <v>106.5</v>
      </c>
      <c r="P9" s="22">
        <v>103.5</v>
      </c>
      <c r="Q9" s="22">
        <v>100</v>
      </c>
      <c r="R9" s="22">
        <v>96</v>
      </c>
      <c r="S9" s="22">
        <v>92</v>
      </c>
      <c r="T9" s="22">
        <v>87.5</v>
      </c>
      <c r="U9" s="22">
        <v>83</v>
      </c>
      <c r="V9" s="22">
        <v>78.5</v>
      </c>
      <c r="W9" s="22">
        <v>74</v>
      </c>
      <c r="X9" s="22">
        <v>69.5</v>
      </c>
      <c r="Y9" s="22">
        <v>65</v>
      </c>
      <c r="Z9" s="22">
        <v>60.5</v>
      </c>
      <c r="AA9" s="22">
        <v>56</v>
      </c>
      <c r="AB9" s="22">
        <v>51.5</v>
      </c>
      <c r="AC9" s="22">
        <v>47</v>
      </c>
      <c r="AD9" s="22">
        <v>43</v>
      </c>
      <c r="AE9" s="22">
        <v>39</v>
      </c>
      <c r="AF9" s="22">
        <v>35.5</v>
      </c>
      <c r="AG9" s="22">
        <v>32</v>
      </c>
      <c r="AH9" s="22">
        <v>29</v>
      </c>
      <c r="AI9" s="22">
        <v>26.5</v>
      </c>
      <c r="AJ9" s="22">
        <v>24.5</v>
      </c>
      <c r="AK9" s="22">
        <v>23</v>
      </c>
      <c r="AL9" s="22">
        <v>22</v>
      </c>
      <c r="AM9" s="22">
        <v>21</v>
      </c>
      <c r="AP9" s="7" t="s">
        <v>56</v>
      </c>
      <c r="AQ9" s="37" t="s">
        <v>57</v>
      </c>
    </row>
    <row r="10" ht="28" spans="1:39">
      <c r="A10" s="20" t="s">
        <v>122</v>
      </c>
      <c r="B10" s="12" t="s">
        <v>123</v>
      </c>
      <c r="C10" s="23">
        <v>1.85</v>
      </c>
      <c r="D10" s="23">
        <v>1.88515</v>
      </c>
      <c r="E10" s="23">
        <v>1.87572425</v>
      </c>
      <c r="F10" s="23">
        <v>1.860718456</v>
      </c>
      <c r="G10" s="23">
        <v>1.84211127144</v>
      </c>
      <c r="H10" s="23">
        <v>1.82000593618272</v>
      </c>
      <c r="I10" s="23">
        <v>1.79270584713998</v>
      </c>
      <c r="J10" s="23">
        <v>1.76581525943288</v>
      </c>
      <c r="K10" s="23">
        <v>1.73932803054139</v>
      </c>
      <c r="L10" s="23">
        <v>1.71323811008326</v>
      </c>
      <c r="M10" s="23">
        <v>1.68753953843202</v>
      </c>
      <c r="N10" s="23">
        <v>1.66222644535554</v>
      </c>
      <c r="O10" s="23">
        <v>1.64227972801127</v>
      </c>
      <c r="P10" s="23">
        <v>1.62257237127513</v>
      </c>
      <c r="Q10" s="23">
        <v>1.60310150281983</v>
      </c>
      <c r="R10" s="23">
        <v>1.58386428478599</v>
      </c>
      <c r="S10" s="23">
        <v>1.56802564193814</v>
      </c>
      <c r="T10" s="23">
        <v>1.55234538551875</v>
      </c>
      <c r="U10" s="23">
        <v>1.53682193166357</v>
      </c>
      <c r="V10" s="23">
        <v>1.52145371234693</v>
      </c>
      <c r="W10" s="23">
        <v>1.50928208264815</v>
      </c>
      <c r="X10" s="23">
        <v>1.49720782598697</v>
      </c>
      <c r="Y10" s="23">
        <v>1.48523016337907</v>
      </c>
      <c r="Z10" s="23">
        <v>1.47334832207204</v>
      </c>
      <c r="AA10" s="23">
        <v>1.46450823213961</v>
      </c>
      <c r="AB10" s="23">
        <v>1.45572118274677</v>
      </c>
      <c r="AC10" s="23">
        <v>1.44698685565029</v>
      </c>
      <c r="AD10" s="23">
        <v>1.43975192137204</v>
      </c>
      <c r="AE10" s="23">
        <v>1.43255316176518</v>
      </c>
      <c r="AF10" s="23">
        <v>1.42539039595635</v>
      </c>
      <c r="AG10" s="23">
        <v>1.41826344397657</v>
      </c>
      <c r="AH10" s="23">
        <v>1.41259039020066</v>
      </c>
      <c r="AI10" s="23">
        <v>1.40694002863986</v>
      </c>
      <c r="AJ10" s="23">
        <v>1.4013122685253</v>
      </c>
      <c r="AK10" s="23">
        <v>1.39710833171973</v>
      </c>
      <c r="AL10" s="23">
        <v>1.39291700672457</v>
      </c>
      <c r="AM10" s="23">
        <v>1.38873825570439</v>
      </c>
    </row>
    <row r="11" spans="1:43">
      <c r="A11" s="6" t="s">
        <v>124</v>
      </c>
      <c r="B11" s="12" t="s">
        <v>125</v>
      </c>
      <c r="C11" s="21">
        <v>0</v>
      </c>
      <c r="D11" s="21">
        <v>1.9</v>
      </c>
      <c r="E11" s="21">
        <v>-0.5</v>
      </c>
      <c r="F11" s="21">
        <v>-0.8</v>
      </c>
      <c r="G11" s="21">
        <v>-1</v>
      </c>
      <c r="H11" s="21">
        <v>-1.2</v>
      </c>
      <c r="I11" s="21">
        <v>-1.5</v>
      </c>
      <c r="J11" s="21">
        <v>-1.5</v>
      </c>
      <c r="K11" s="21">
        <v>-1.5</v>
      </c>
      <c r="L11" s="21">
        <v>-1.5</v>
      </c>
      <c r="M11" s="21">
        <v>-1.5</v>
      </c>
      <c r="N11" s="21">
        <v>-1.5</v>
      </c>
      <c r="O11" s="21">
        <v>-1.2</v>
      </c>
      <c r="P11" s="21">
        <v>-1.2</v>
      </c>
      <c r="Q11" s="21">
        <v>-1.2</v>
      </c>
      <c r="R11" s="21">
        <v>-1.2</v>
      </c>
      <c r="S11" s="21">
        <v>-1</v>
      </c>
      <c r="T11" s="21">
        <v>-1</v>
      </c>
      <c r="U11" s="21">
        <v>-1</v>
      </c>
      <c r="V11" s="21">
        <v>-1</v>
      </c>
      <c r="W11" s="21">
        <v>-0.8</v>
      </c>
      <c r="X11" s="21">
        <v>-0.8</v>
      </c>
      <c r="Y11" s="21">
        <v>-0.8</v>
      </c>
      <c r="Z11" s="21">
        <v>-0.8</v>
      </c>
      <c r="AA11" s="21">
        <v>-0.6</v>
      </c>
      <c r="AB11" s="21">
        <v>-0.6</v>
      </c>
      <c r="AC11" s="21">
        <v>-0.6</v>
      </c>
      <c r="AD11" s="21">
        <v>-0.5</v>
      </c>
      <c r="AE11" s="21">
        <v>-0.5</v>
      </c>
      <c r="AF11" s="21">
        <v>-0.5</v>
      </c>
      <c r="AG11" s="21">
        <v>-0.5</v>
      </c>
      <c r="AH11" s="21">
        <v>-0.4</v>
      </c>
      <c r="AI11" s="21">
        <v>-0.4</v>
      </c>
      <c r="AJ11" s="21">
        <v>-0.4</v>
      </c>
      <c r="AK11" s="21">
        <v>-0.3</v>
      </c>
      <c r="AL11" s="21">
        <v>-0.3</v>
      </c>
      <c r="AM11" s="21">
        <v>-0.3</v>
      </c>
      <c r="AP11" s="20" t="s">
        <v>126</v>
      </c>
      <c r="AQ11" s="11"/>
    </row>
    <row r="12" ht="17.6" spans="1:43">
      <c r="A12" s="3" t="s">
        <v>127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P12" s="7" t="s">
        <v>60</v>
      </c>
      <c r="AQ12" s="37" t="s">
        <v>61</v>
      </c>
    </row>
    <row r="13" spans="1:43">
      <c r="A13" s="20" t="s">
        <v>48</v>
      </c>
      <c r="B13" s="12" t="s">
        <v>128</v>
      </c>
      <c r="C13" s="24">
        <v>100509</v>
      </c>
      <c r="D13" s="24">
        <v>96081</v>
      </c>
      <c r="E13" s="24">
        <v>93754.8615338214</v>
      </c>
      <c r="F13" s="24">
        <v>91485.0393025261</v>
      </c>
      <c r="G13" s="24">
        <v>89270.1698798362</v>
      </c>
      <c r="H13" s="24">
        <v>87108.9228482713</v>
      </c>
      <c r="I13" s="24">
        <v>85000</v>
      </c>
      <c r="J13" s="24">
        <v>84263.9628274251</v>
      </c>
      <c r="K13" s="24">
        <v>83534.2991927257</v>
      </c>
      <c r="L13" s="24">
        <v>82810.9539057747</v>
      </c>
      <c r="M13" s="24">
        <v>82093.8722543508</v>
      </c>
      <c r="N13" s="24">
        <v>81383</v>
      </c>
      <c r="O13" s="24">
        <v>79529.2521898213</v>
      </c>
      <c r="P13" s="24">
        <v>77717.7291801998</v>
      </c>
      <c r="Q13" s="24">
        <v>75947.4691716002</v>
      </c>
      <c r="R13" s="24">
        <v>74217.5322724264</v>
      </c>
      <c r="S13" s="24">
        <v>72527</v>
      </c>
      <c r="T13" s="24">
        <v>71386.9467254975</v>
      </c>
      <c r="U13" s="24">
        <v>70264.8139698184</v>
      </c>
      <c r="V13" s="24">
        <v>69160.3200399909</v>
      </c>
      <c r="W13" s="24">
        <v>68073.1876709802</v>
      </c>
      <c r="X13" s="24">
        <v>67003.1439560861</v>
      </c>
      <c r="Y13" s="24">
        <v>65949.9202784337</v>
      </c>
      <c r="Z13" s="24">
        <v>64913.2522435418</v>
      </c>
      <c r="AA13" s="24">
        <v>63892.879612951</v>
      </c>
      <c r="AB13" s="24">
        <v>62888.5462388953</v>
      </c>
      <c r="AC13" s="24">
        <v>61900</v>
      </c>
      <c r="AD13" s="24">
        <v>60915.0900170017</v>
      </c>
      <c r="AE13" s="24">
        <v>59945.8512403783</v>
      </c>
      <c r="AF13" s="24">
        <v>58992.0343207341</v>
      </c>
      <c r="AG13" s="24">
        <v>58053.3938761481</v>
      </c>
      <c r="AH13" s="24">
        <v>57129.6884290471</v>
      </c>
      <c r="AI13" s="24">
        <v>56220.6803440818</v>
      </c>
      <c r="AJ13" s="24">
        <v>55326.1357669923</v>
      </c>
      <c r="AK13" s="24">
        <v>54445.8245644458</v>
      </c>
      <c r="AL13" s="24">
        <v>53579.5202648319</v>
      </c>
      <c r="AM13" s="24">
        <v>52727</v>
      </c>
      <c r="AP13" s="7" t="s">
        <v>64</v>
      </c>
      <c r="AQ13" s="37" t="s">
        <v>65</v>
      </c>
    </row>
    <row r="14" ht="17.6" spans="1:43">
      <c r="A14" s="3" t="s">
        <v>129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P14" s="7" t="s">
        <v>68</v>
      </c>
      <c r="AQ14" s="37" t="s">
        <v>69</v>
      </c>
    </row>
    <row r="15" spans="1:39">
      <c r="A15" s="20" t="s">
        <v>64</v>
      </c>
      <c r="B15" s="12" t="s">
        <v>130</v>
      </c>
      <c r="C15" s="21">
        <v>10</v>
      </c>
      <c r="D15" s="21">
        <v>10</v>
      </c>
      <c r="E15" s="21">
        <v>10</v>
      </c>
      <c r="F15" s="21">
        <v>10</v>
      </c>
      <c r="G15" s="21">
        <v>10</v>
      </c>
      <c r="H15" s="21">
        <v>10</v>
      </c>
      <c r="I15" s="21">
        <v>10</v>
      </c>
      <c r="J15" s="21">
        <v>10.1</v>
      </c>
      <c r="K15" s="21">
        <v>10.2</v>
      </c>
      <c r="L15" s="21">
        <v>10.3</v>
      </c>
      <c r="M15" s="21">
        <v>10.4</v>
      </c>
      <c r="N15" s="21">
        <v>10.5</v>
      </c>
      <c r="O15" s="21">
        <v>11.1251535293022</v>
      </c>
      <c r="P15" s="21">
        <v>11.7875277190995</v>
      </c>
      <c r="Q15" s="21">
        <v>12.4893386291321</v>
      </c>
      <c r="R15" s="21">
        <v>13.2329342598609</v>
      </c>
      <c r="S15" s="21">
        <v>14.020802408011</v>
      </c>
      <c r="T15" s="21">
        <v>14.8555789898221</v>
      </c>
      <c r="U15" s="21">
        <v>15.740056859852</v>
      </c>
      <c r="V15" s="21">
        <v>16.6771951548381</v>
      </c>
      <c r="W15" s="21">
        <v>17.670129193877</v>
      </c>
      <c r="X15" s="21">
        <v>18.7221809680463</v>
      </c>
      <c r="Y15" s="21">
        <v>19.8368702545614</v>
      </c>
      <c r="Z15" s="21">
        <v>21.0179263926517</v>
      </c>
      <c r="AA15" s="21">
        <v>22.2693007605545</v>
      </c>
      <c r="AB15" s="21">
        <v>23.5951799953691</v>
      </c>
      <c r="AC15" s="21">
        <v>25</v>
      </c>
      <c r="AD15" s="21">
        <v>26.203059736724</v>
      </c>
      <c r="AE15" s="21">
        <v>27.464013582653</v>
      </c>
      <c r="AF15" s="21">
        <v>28.7856475406582</v>
      </c>
      <c r="AG15" s="21">
        <v>30.1708816827258</v>
      </c>
      <c r="AH15" s="21">
        <v>31.6227766016838</v>
      </c>
      <c r="AI15" s="21">
        <v>33.1445401733999</v>
      </c>
      <c r="AJ15" s="21">
        <v>34.7395346443938</v>
      </c>
      <c r="AK15" s="21">
        <v>36.4112840605216</v>
      </c>
      <c r="AL15" s="21">
        <v>38.1634820531469</v>
      </c>
      <c r="AM15" s="21">
        <v>40</v>
      </c>
    </row>
    <row r="16" spans="1:43">
      <c r="A16" s="20" t="s">
        <v>68</v>
      </c>
      <c r="B16" s="12" t="s">
        <v>131</v>
      </c>
      <c r="C16" s="23">
        <v>1</v>
      </c>
      <c r="D16" s="23">
        <v>1.1</v>
      </c>
      <c r="E16" s="23">
        <v>1.29628993763272</v>
      </c>
      <c r="F16" s="23">
        <v>1.52760691127984</v>
      </c>
      <c r="G16" s="23">
        <v>1.80020133431841</v>
      </c>
      <c r="H16" s="23">
        <v>2.12143897762722</v>
      </c>
      <c r="I16" s="23">
        <v>2.5</v>
      </c>
      <c r="J16" s="23">
        <v>2.74640135826529</v>
      </c>
      <c r="K16" s="23">
        <v>3.01708816827258</v>
      </c>
      <c r="L16" s="23">
        <v>3.31445401733999</v>
      </c>
      <c r="M16" s="23">
        <v>3.64112840605216</v>
      </c>
      <c r="N16" s="23">
        <v>4</v>
      </c>
      <c r="O16" s="23">
        <v>4.09534502215844</v>
      </c>
      <c r="P16" s="23">
        <v>4.19296271262948</v>
      </c>
      <c r="Q16" s="23">
        <v>4.29290724331577</v>
      </c>
      <c r="R16" s="23">
        <v>4.39523407737528</v>
      </c>
      <c r="S16" s="23">
        <v>4.5</v>
      </c>
      <c r="T16" s="23">
        <v>4.82298058141332</v>
      </c>
      <c r="U16" s="23">
        <v>5.16914259748666</v>
      </c>
      <c r="V16" s="23">
        <v>5.54014986005212</v>
      </c>
      <c r="W16" s="23">
        <v>5.93778559847802</v>
      </c>
      <c r="X16" s="23">
        <v>6.36396103067893</v>
      </c>
      <c r="Y16" s="23">
        <v>6.82072454929679</v>
      </c>
      <c r="Z16" s="23">
        <v>7.31027156720612</v>
      </c>
      <c r="AA16" s="23">
        <v>7.83495506966511</v>
      </c>
      <c r="AB16" s="23">
        <v>8.39729692383126</v>
      </c>
      <c r="AC16" s="23">
        <v>9</v>
      </c>
      <c r="AD16" s="23">
        <v>9.26267408068285</v>
      </c>
      <c r="AE16" s="23">
        <v>9.53301456943931</v>
      </c>
      <c r="AF16" s="23">
        <v>9.81124521812416</v>
      </c>
      <c r="AG16" s="23">
        <v>10.0975963090158</v>
      </c>
      <c r="AH16" s="23">
        <v>10.3923048454133</v>
      </c>
      <c r="AI16" s="23">
        <v>10.695614747796</v>
      </c>
      <c r="AJ16" s="23">
        <v>11.0077770557088</v>
      </c>
      <c r="AK16" s="23">
        <v>11.3290501355388</v>
      </c>
      <c r="AL16" s="23">
        <v>11.6596998943569</v>
      </c>
      <c r="AM16" s="23">
        <v>12</v>
      </c>
      <c r="AP16" s="7" t="s">
        <v>58</v>
      </c>
      <c r="AQ16" s="37" t="s">
        <v>59</v>
      </c>
    </row>
    <row r="17" spans="1:43">
      <c r="A17" s="20" t="s">
        <v>60</v>
      </c>
      <c r="B17" s="12" t="e">
        <f>1-短流程%-氢冶金%</f>
        <v>#NAME?</v>
      </c>
      <c r="C17" s="25">
        <f t="shared" ref="C17:AM17" si="0">1-C15/100-C16/100</f>
        <v>0.89</v>
      </c>
      <c r="D17" s="25">
        <f t="shared" si="0"/>
        <v>0.889</v>
      </c>
      <c r="E17" s="25">
        <f t="shared" si="0"/>
        <v>0.887037100623673</v>
      </c>
      <c r="F17" s="25">
        <f t="shared" si="0"/>
        <v>0.884723930887202</v>
      </c>
      <c r="G17" s="25">
        <f t="shared" si="0"/>
        <v>0.881997986656816</v>
      </c>
      <c r="H17" s="25">
        <f t="shared" si="0"/>
        <v>0.878785610223728</v>
      </c>
      <c r="I17" s="25">
        <f t="shared" si="0"/>
        <v>0.875</v>
      </c>
      <c r="J17" s="25">
        <f t="shared" si="0"/>
        <v>0.871535986417347</v>
      </c>
      <c r="K17" s="25">
        <f t="shared" si="0"/>
        <v>0.867829118317274</v>
      </c>
      <c r="L17" s="25">
        <f t="shared" si="0"/>
        <v>0.8638554598266</v>
      </c>
      <c r="M17" s="25">
        <f t="shared" si="0"/>
        <v>0.859588715939478</v>
      </c>
      <c r="N17" s="25">
        <f t="shared" si="0"/>
        <v>0.855</v>
      </c>
      <c r="O17" s="25">
        <f t="shared" si="0"/>
        <v>0.847795014485394</v>
      </c>
      <c r="P17" s="25">
        <f t="shared" si="0"/>
        <v>0.84019509568271</v>
      </c>
      <c r="Q17" s="25">
        <f t="shared" si="0"/>
        <v>0.832177541275521</v>
      </c>
      <c r="R17" s="25">
        <f t="shared" si="0"/>
        <v>0.823718316627638</v>
      </c>
      <c r="S17" s="25">
        <f t="shared" si="0"/>
        <v>0.81479197591989</v>
      </c>
      <c r="T17" s="25">
        <f t="shared" si="0"/>
        <v>0.803214404287646</v>
      </c>
      <c r="U17" s="25">
        <f t="shared" si="0"/>
        <v>0.790908005426613</v>
      </c>
      <c r="V17" s="25">
        <f t="shared" si="0"/>
        <v>0.777826549851098</v>
      </c>
      <c r="W17" s="25">
        <f t="shared" si="0"/>
        <v>0.76392085207645</v>
      </c>
      <c r="X17" s="25">
        <f t="shared" si="0"/>
        <v>0.749138580012748</v>
      </c>
      <c r="Y17" s="25">
        <f t="shared" si="0"/>
        <v>0.733424051961418</v>
      </c>
      <c r="Z17" s="25">
        <f t="shared" si="0"/>
        <v>0.716718020401422</v>
      </c>
      <c r="AA17" s="25">
        <f t="shared" si="0"/>
        <v>0.698957441697804</v>
      </c>
      <c r="AB17" s="25">
        <f t="shared" si="0"/>
        <v>0.680075230807996</v>
      </c>
      <c r="AC17" s="25">
        <f t="shared" si="0"/>
        <v>0.66</v>
      </c>
      <c r="AD17" s="25">
        <f t="shared" si="0"/>
        <v>0.645342661825931</v>
      </c>
      <c r="AE17" s="25">
        <f t="shared" si="0"/>
        <v>0.630029718479077</v>
      </c>
      <c r="AF17" s="25">
        <f t="shared" si="0"/>
        <v>0.614031072412176</v>
      </c>
      <c r="AG17" s="25">
        <f t="shared" si="0"/>
        <v>0.597315220082584</v>
      </c>
      <c r="AH17" s="25">
        <f t="shared" si="0"/>
        <v>0.579849185529029</v>
      </c>
      <c r="AI17" s="25">
        <f t="shared" si="0"/>
        <v>0.561598450788041</v>
      </c>
      <c r="AJ17" s="25">
        <f t="shared" si="0"/>
        <v>0.542526882998974</v>
      </c>
      <c r="AK17" s="25">
        <f t="shared" si="0"/>
        <v>0.522596658039396</v>
      </c>
      <c r="AL17" s="25">
        <f t="shared" si="0"/>
        <v>0.501768180524962</v>
      </c>
      <c r="AM17" s="25">
        <f t="shared" si="0"/>
        <v>0.48</v>
      </c>
      <c r="AP17" s="7" t="s">
        <v>62</v>
      </c>
      <c r="AQ17" s="37" t="s">
        <v>63</v>
      </c>
    </row>
    <row r="18" spans="1:43">
      <c r="A18" s="6" t="s">
        <v>132</v>
      </c>
      <c r="B18" s="12" t="e">
        <f>长流程产量公式</f>
        <v>#NAME?</v>
      </c>
      <c r="C18" s="26">
        <f t="shared" ref="C18:AM18" si="1">C13*C17</f>
        <v>89453.01</v>
      </c>
      <c r="D18" s="26">
        <f t="shared" si="1"/>
        <v>85416.009</v>
      </c>
      <c r="E18" s="26">
        <f t="shared" si="1"/>
        <v>83164.0405443348</v>
      </c>
      <c r="F18" s="26">
        <f t="shared" si="1"/>
        <v>80939.003589101</v>
      </c>
      <c r="G18" s="26">
        <f t="shared" si="1"/>
        <v>78736.1101025275</v>
      </c>
      <c r="H18" s="26">
        <f t="shared" si="1"/>
        <v>76550.0679211497</v>
      </c>
      <c r="I18" s="26">
        <f t="shared" si="1"/>
        <v>74375</v>
      </c>
      <c r="J18" s="26">
        <f t="shared" si="1"/>
        <v>73439.0759622346</v>
      </c>
      <c r="K18" s="26">
        <f t="shared" si="1"/>
        <v>72493.4972176745</v>
      </c>
      <c r="L18" s="26">
        <f t="shared" si="1"/>
        <v>71536.6946649524</v>
      </c>
      <c r="M18" s="26">
        <f t="shared" si="1"/>
        <v>70566.966237617</v>
      </c>
      <c r="N18" s="26">
        <f t="shared" si="1"/>
        <v>69582.465</v>
      </c>
      <c r="O18" s="26">
        <f t="shared" si="1"/>
        <v>67424.5035122821</v>
      </c>
      <c r="P18" s="26">
        <f t="shared" si="1"/>
        <v>65298.0549048009</v>
      </c>
      <c r="Q18" s="26">
        <f t="shared" si="1"/>
        <v>63201.7781613207</v>
      </c>
      <c r="R18" s="26">
        <f t="shared" si="1"/>
        <v>61134.3407477005</v>
      </c>
      <c r="S18" s="26">
        <f t="shared" si="1"/>
        <v>59094.4176375419</v>
      </c>
      <c r="T18" s="26">
        <f t="shared" si="1"/>
        <v>57339.0238880344</v>
      </c>
      <c r="U18" s="26">
        <f t="shared" si="1"/>
        <v>55573.0038685411</v>
      </c>
      <c r="V18" s="26">
        <f t="shared" si="1"/>
        <v>53794.7331233039</v>
      </c>
      <c r="W18" s="26">
        <f t="shared" si="1"/>
        <v>52002.5275291753</v>
      </c>
      <c r="X18" s="26">
        <f t="shared" si="1"/>
        <v>50194.6401196521</v>
      </c>
      <c r="Y18" s="26">
        <f t="shared" si="1"/>
        <v>48369.2577571413</v>
      </c>
      <c r="Z18" s="26">
        <f t="shared" si="1"/>
        <v>46524.4976458094</v>
      </c>
      <c r="AA18" s="26">
        <f t="shared" si="1"/>
        <v>44658.403676974</v>
      </c>
      <c r="AB18" s="26">
        <f t="shared" si="1"/>
        <v>42768.9425985961</v>
      </c>
      <c r="AC18" s="26">
        <f t="shared" si="1"/>
        <v>40854</v>
      </c>
      <c r="AD18" s="26">
        <f t="shared" si="1"/>
        <v>39311.1063369381</v>
      </c>
      <c r="AE18" s="26">
        <f t="shared" si="1"/>
        <v>37767.6677809642</v>
      </c>
      <c r="AF18" s="26">
        <f t="shared" si="1"/>
        <v>36222.9420977363</v>
      </c>
      <c r="AG18" s="26">
        <f t="shared" si="1"/>
        <v>34676.1757396723</v>
      </c>
      <c r="AH18" s="26">
        <f t="shared" si="1"/>
        <v>33126.6033051101</v>
      </c>
      <c r="AI18" s="26">
        <f t="shared" si="1"/>
        <v>31573.446983486</v>
      </c>
      <c r="AJ18" s="26">
        <f t="shared" si="1"/>
        <v>30015.9159860444</v>
      </c>
      <c r="AK18" s="26">
        <f t="shared" si="1"/>
        <v>28453.2059615786</v>
      </c>
      <c r="AL18" s="26">
        <f t="shared" si="1"/>
        <v>26884.498396685</v>
      </c>
      <c r="AM18" s="26">
        <f t="shared" si="1"/>
        <v>25308.96</v>
      </c>
      <c r="AP18" s="7" t="s">
        <v>66</v>
      </c>
      <c r="AQ18" s="37" t="s">
        <v>67</v>
      </c>
    </row>
    <row r="19" spans="1:39">
      <c r="A19" s="6" t="s">
        <v>133</v>
      </c>
      <c r="B19" s="12" t="e">
        <f>短流程产量公式</f>
        <v>#NAME?</v>
      </c>
      <c r="C19" s="26">
        <f t="shared" ref="C19:AM19" si="2">C13*C15/100</f>
        <v>10050.9</v>
      </c>
      <c r="D19" s="26">
        <f t="shared" si="2"/>
        <v>9608.1</v>
      </c>
      <c r="E19" s="26">
        <f t="shared" si="2"/>
        <v>9375.48615338213</v>
      </c>
      <c r="F19" s="26">
        <f t="shared" si="2"/>
        <v>9148.50393025261</v>
      </c>
      <c r="G19" s="26">
        <f t="shared" si="2"/>
        <v>8927.01698798362</v>
      </c>
      <c r="H19" s="26">
        <f t="shared" si="2"/>
        <v>8710.89228482713</v>
      </c>
      <c r="I19" s="26">
        <f t="shared" si="2"/>
        <v>8500</v>
      </c>
      <c r="J19" s="26">
        <f t="shared" si="2"/>
        <v>8510.66024556994</v>
      </c>
      <c r="K19" s="26">
        <f t="shared" si="2"/>
        <v>8520.49851765802</v>
      </c>
      <c r="L19" s="26">
        <f t="shared" si="2"/>
        <v>8529.52825229479</v>
      </c>
      <c r="M19" s="26">
        <f t="shared" si="2"/>
        <v>8537.76271445248</v>
      </c>
      <c r="N19" s="26">
        <f t="shared" si="2"/>
        <v>8545.215</v>
      </c>
      <c r="O19" s="26">
        <f t="shared" si="2"/>
        <v>8847.75140682354</v>
      </c>
      <c r="P19" s="26">
        <f t="shared" si="2"/>
        <v>9160.99886977074</v>
      </c>
      <c r="Q19" s="26">
        <f t="shared" si="2"/>
        <v>9485.33660509688</v>
      </c>
      <c r="R19" s="26">
        <f t="shared" si="2"/>
        <v>9821.15725490121</v>
      </c>
      <c r="S19" s="26">
        <f t="shared" si="2"/>
        <v>10168.8673624581</v>
      </c>
      <c r="T19" s="26">
        <f t="shared" si="2"/>
        <v>10604.9442592285</v>
      </c>
      <c r="U19" s="26">
        <f t="shared" si="2"/>
        <v>11059.7216713187</v>
      </c>
      <c r="V19" s="26">
        <f t="shared" si="2"/>
        <v>11534.0015427799</v>
      </c>
      <c r="W19" s="26">
        <f t="shared" si="2"/>
        <v>12028.6202078525</v>
      </c>
      <c r="X19" s="26">
        <f t="shared" si="2"/>
        <v>12544.449865739</v>
      </c>
      <c r="Y19" s="26">
        <f t="shared" si="2"/>
        <v>13082.4001186195</v>
      </c>
      <c r="Z19" s="26">
        <f t="shared" si="2"/>
        <v>13643.4195756239</v>
      </c>
      <c r="AA19" s="26">
        <f t="shared" si="2"/>
        <v>14228.4975255871</v>
      </c>
      <c r="AB19" s="26">
        <f t="shared" si="2"/>
        <v>14838.6656815382</v>
      </c>
      <c r="AC19" s="26">
        <f t="shared" si="2"/>
        <v>15475</v>
      </c>
      <c r="AD19" s="26">
        <f t="shared" si="2"/>
        <v>15961.6174258341</v>
      </c>
      <c r="AE19" s="26">
        <f t="shared" si="2"/>
        <v>16463.5367268945</v>
      </c>
      <c r="AF19" s="26">
        <f t="shared" si="2"/>
        <v>16981.2390766306</v>
      </c>
      <c r="AG19" s="26">
        <f t="shared" si="2"/>
        <v>17515.2207791795</v>
      </c>
      <c r="AH19" s="26">
        <f t="shared" si="2"/>
        <v>18065.9937451556</v>
      </c>
      <c r="AI19" s="26">
        <f t="shared" si="2"/>
        <v>18634.085982403</v>
      </c>
      <c r="AJ19" s="26">
        <f t="shared" si="2"/>
        <v>19220.0421021786</v>
      </c>
      <c r="AK19" s="26">
        <f t="shared" si="2"/>
        <v>19824.4238412536</v>
      </c>
      <c r="AL19" s="26">
        <f t="shared" si="2"/>
        <v>20447.8106004313</v>
      </c>
      <c r="AM19" s="26">
        <f t="shared" si="2"/>
        <v>21090.8</v>
      </c>
    </row>
    <row r="20" spans="1:43">
      <c r="A20" s="6" t="s">
        <v>134</v>
      </c>
      <c r="B20" s="12" t="e">
        <f>氢冶金产量公式</f>
        <v>#NAME?</v>
      </c>
      <c r="C20" s="26">
        <f t="shared" ref="C20:AM20" si="3">C13*C16/100</f>
        <v>1005.09</v>
      </c>
      <c r="D20" s="26">
        <f t="shared" si="3"/>
        <v>1056.891</v>
      </c>
      <c r="E20" s="26">
        <f t="shared" si="3"/>
        <v>1215.33483610442</v>
      </c>
      <c r="F20" s="26">
        <f t="shared" si="3"/>
        <v>1397.53178317247</v>
      </c>
      <c r="G20" s="26">
        <f t="shared" si="3"/>
        <v>1607.04278932512</v>
      </c>
      <c r="H20" s="26">
        <f t="shared" si="3"/>
        <v>1847.96264229445</v>
      </c>
      <c r="I20" s="26">
        <f t="shared" si="3"/>
        <v>2125</v>
      </c>
      <c r="J20" s="26">
        <f t="shared" si="3"/>
        <v>2314.22661962056</v>
      </c>
      <c r="K20" s="26">
        <f t="shared" si="3"/>
        <v>2520.30345739314</v>
      </c>
      <c r="L20" s="26">
        <f t="shared" si="3"/>
        <v>2744.73098852752</v>
      </c>
      <c r="M20" s="26">
        <f t="shared" si="3"/>
        <v>2989.14330228134</v>
      </c>
      <c r="N20" s="26">
        <f t="shared" si="3"/>
        <v>3255.32</v>
      </c>
      <c r="O20" s="26">
        <f t="shared" si="3"/>
        <v>3256.99727071568</v>
      </c>
      <c r="P20" s="26">
        <f t="shared" si="3"/>
        <v>3258.67540562814</v>
      </c>
      <c r="Q20" s="26">
        <f t="shared" si="3"/>
        <v>3260.35440518264</v>
      </c>
      <c r="R20" s="26">
        <f t="shared" si="3"/>
        <v>3262.03426982468</v>
      </c>
      <c r="S20" s="26">
        <f t="shared" si="3"/>
        <v>3263.715</v>
      </c>
      <c r="T20" s="26">
        <f t="shared" si="3"/>
        <v>3442.97857823462</v>
      </c>
      <c r="U20" s="26">
        <f t="shared" si="3"/>
        <v>3632.08842995864</v>
      </c>
      <c r="V20" s="26">
        <f t="shared" si="3"/>
        <v>3831.58537390715</v>
      </c>
      <c r="W20" s="26">
        <f t="shared" si="3"/>
        <v>4042.03993395238</v>
      </c>
      <c r="X20" s="26">
        <f t="shared" si="3"/>
        <v>4264.05397069502</v>
      </c>
      <c r="Y20" s="26">
        <f t="shared" si="3"/>
        <v>4498.26240267279</v>
      </c>
      <c r="Z20" s="26">
        <f t="shared" si="3"/>
        <v>4745.33502210842</v>
      </c>
      <c r="AA20" s="26">
        <f t="shared" si="3"/>
        <v>5005.97841038993</v>
      </c>
      <c r="AB20" s="26">
        <f t="shared" si="3"/>
        <v>5280.93795876095</v>
      </c>
      <c r="AC20" s="26">
        <f t="shared" si="3"/>
        <v>5571</v>
      </c>
      <c r="AD20" s="26">
        <f t="shared" si="3"/>
        <v>5642.36625422944</v>
      </c>
      <c r="AE20" s="26">
        <f t="shared" si="3"/>
        <v>5714.64673251968</v>
      </c>
      <c r="AF20" s="26">
        <f t="shared" si="3"/>
        <v>5787.85314636719</v>
      </c>
      <c r="AG20" s="26">
        <f t="shared" si="3"/>
        <v>5861.99735729633</v>
      </c>
      <c r="AH20" s="26">
        <f t="shared" si="3"/>
        <v>5937.09137878138</v>
      </c>
      <c r="AI20" s="26">
        <f t="shared" si="3"/>
        <v>6013.14737819286</v>
      </c>
      <c r="AJ20" s="26">
        <f t="shared" si="3"/>
        <v>6090.17767876928</v>
      </c>
      <c r="AK20" s="26">
        <f t="shared" si="3"/>
        <v>6168.19476161356</v>
      </c>
      <c r="AL20" s="26">
        <f t="shared" si="3"/>
        <v>6247.21126771554</v>
      </c>
      <c r="AM20" s="26">
        <f t="shared" si="3"/>
        <v>6327.24</v>
      </c>
      <c r="AP20" s="7" t="s">
        <v>135</v>
      </c>
      <c r="AQ20" s="37" t="s">
        <v>136</v>
      </c>
    </row>
    <row r="21" ht="17.6" spans="1:43">
      <c r="A21" s="3" t="s">
        <v>137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P21" s="7" t="s">
        <v>138</v>
      </c>
      <c r="AQ21" s="37" t="s">
        <v>139</v>
      </c>
    </row>
    <row r="22" ht="28" spans="1:43">
      <c r="A22" s="12" t="s">
        <v>140</v>
      </c>
      <c r="B22" s="12" t="s">
        <v>141</v>
      </c>
      <c r="C22" s="27">
        <v>28000</v>
      </c>
      <c r="D22" s="27">
        <v>28500</v>
      </c>
      <c r="E22" s="27">
        <v>29167.9484439524</v>
      </c>
      <c r="F22" s="27">
        <v>29851.5514536514</v>
      </c>
      <c r="G22" s="27">
        <v>30551.1759218279</v>
      </c>
      <c r="H22" s="27">
        <v>31267.1973399998</v>
      </c>
      <c r="I22" s="27">
        <v>32000</v>
      </c>
      <c r="J22" s="27">
        <v>33118.9608653058</v>
      </c>
      <c r="K22" s="27">
        <v>34277.0490249268</v>
      </c>
      <c r="L22" s="27">
        <v>35475.632663585</v>
      </c>
      <c r="M22" s="27">
        <v>36716.1278080387</v>
      </c>
      <c r="N22" s="27">
        <v>38000</v>
      </c>
      <c r="O22" s="27">
        <v>39306.9530545997</v>
      </c>
      <c r="P22" s="27">
        <v>40658.8568009607</v>
      </c>
      <c r="Q22" s="27">
        <v>42057.2572507646</v>
      </c>
      <c r="R22" s="27">
        <v>43503.753588448</v>
      </c>
      <c r="S22" s="27">
        <v>45000</v>
      </c>
      <c r="T22" s="27">
        <v>45958.3059420061</v>
      </c>
      <c r="U22" s="27">
        <v>46937.0196679785</v>
      </c>
      <c r="V22" s="27">
        <v>47936.5757757091</v>
      </c>
      <c r="W22" s="27">
        <v>48957.4181180488</v>
      </c>
      <c r="X22" s="27">
        <v>50000</v>
      </c>
      <c r="Y22" s="27">
        <v>49798.3805270478</v>
      </c>
      <c r="Z22" s="27">
        <v>49597.574062333</v>
      </c>
      <c r="AA22" s="27">
        <v>49397.5773274899</v>
      </c>
      <c r="AB22" s="27">
        <v>49198.3870573721</v>
      </c>
      <c r="AC22" s="27">
        <v>49000</v>
      </c>
      <c r="AD22" s="27">
        <v>48593.3047383302</v>
      </c>
      <c r="AE22" s="27">
        <v>48189.9850080046</v>
      </c>
      <c r="AF22" s="27">
        <v>47790.0127924394</v>
      </c>
      <c r="AG22" s="27">
        <v>47393.3603075858</v>
      </c>
      <c r="AH22" s="27">
        <v>47000</v>
      </c>
      <c r="AI22" s="27">
        <v>46593.0123036347</v>
      </c>
      <c r="AJ22" s="27">
        <v>46189.5488409926</v>
      </c>
      <c r="AK22" s="27">
        <v>45789.579094632</v>
      </c>
      <c r="AL22" s="27">
        <v>45393.0728113711</v>
      </c>
      <c r="AM22" s="27">
        <v>45000</v>
      </c>
      <c r="AP22" s="7" t="s">
        <v>142</v>
      </c>
      <c r="AQ22" s="37" t="s">
        <v>143</v>
      </c>
    </row>
    <row r="23" spans="1:43">
      <c r="A23" s="6" t="s">
        <v>144</v>
      </c>
      <c r="B23" s="12" t="s">
        <v>145</v>
      </c>
      <c r="C23" s="26">
        <f t="shared" ref="C23:AM23" si="4">C18*0.3</f>
        <v>26835.903</v>
      </c>
      <c r="D23" s="26">
        <f t="shared" si="4"/>
        <v>25624.8027</v>
      </c>
      <c r="E23" s="26">
        <f t="shared" si="4"/>
        <v>24949.2121633005</v>
      </c>
      <c r="F23" s="26">
        <f t="shared" si="4"/>
        <v>24281.7010767303</v>
      </c>
      <c r="G23" s="26">
        <f t="shared" si="4"/>
        <v>23620.8330307582</v>
      </c>
      <c r="H23" s="26">
        <f t="shared" si="4"/>
        <v>22965.0203763449</v>
      </c>
      <c r="I23" s="26">
        <f t="shared" si="4"/>
        <v>22312.5</v>
      </c>
      <c r="J23" s="26">
        <f t="shared" si="4"/>
        <v>22031.7227886704</v>
      </c>
      <c r="K23" s="26">
        <f t="shared" si="4"/>
        <v>21748.0491653024</v>
      </c>
      <c r="L23" s="26">
        <f t="shared" si="4"/>
        <v>21461.0083994857</v>
      </c>
      <c r="M23" s="26">
        <f t="shared" si="4"/>
        <v>21170.0898712851</v>
      </c>
      <c r="N23" s="26">
        <f t="shared" si="4"/>
        <v>20874.7395</v>
      </c>
      <c r="O23" s="26">
        <f t="shared" si="4"/>
        <v>20227.3510536846</v>
      </c>
      <c r="P23" s="26">
        <f t="shared" si="4"/>
        <v>19589.4164714403</v>
      </c>
      <c r="Q23" s="26">
        <f t="shared" si="4"/>
        <v>18960.5334483962</v>
      </c>
      <c r="R23" s="26">
        <f t="shared" si="4"/>
        <v>18340.3022243101</v>
      </c>
      <c r="S23" s="26">
        <f t="shared" si="4"/>
        <v>17728.3252912626</v>
      </c>
      <c r="T23" s="26">
        <f t="shared" si="4"/>
        <v>17201.7071664103</v>
      </c>
      <c r="U23" s="26">
        <f t="shared" si="4"/>
        <v>16671.9011605623</v>
      </c>
      <c r="V23" s="26">
        <f t="shared" si="4"/>
        <v>16138.4199369912</v>
      </c>
      <c r="W23" s="26">
        <f t="shared" si="4"/>
        <v>15600.7582587526</v>
      </c>
      <c r="X23" s="26">
        <f t="shared" si="4"/>
        <v>15058.3920358956</v>
      </c>
      <c r="Y23" s="26">
        <f t="shared" si="4"/>
        <v>14510.7773271424</v>
      </c>
      <c r="Z23" s="26">
        <f t="shared" si="4"/>
        <v>13957.3492937428</v>
      </c>
      <c r="AA23" s="26">
        <f t="shared" si="4"/>
        <v>13397.5211030922</v>
      </c>
      <c r="AB23" s="26">
        <f t="shared" si="4"/>
        <v>12830.6827795788</v>
      </c>
      <c r="AC23" s="26">
        <f t="shared" si="4"/>
        <v>12256.2</v>
      </c>
      <c r="AD23" s="26">
        <f t="shared" si="4"/>
        <v>11793.3319010814</v>
      </c>
      <c r="AE23" s="26">
        <f t="shared" si="4"/>
        <v>11330.3003342892</v>
      </c>
      <c r="AF23" s="26">
        <f t="shared" si="4"/>
        <v>10866.8826293209</v>
      </c>
      <c r="AG23" s="26">
        <f t="shared" si="4"/>
        <v>10402.8527219017</v>
      </c>
      <c r="AH23" s="26">
        <f t="shared" si="4"/>
        <v>9937.98099153304</v>
      </c>
      <c r="AI23" s="26">
        <f t="shared" si="4"/>
        <v>9472.0340950458</v>
      </c>
      <c r="AJ23" s="26">
        <f t="shared" si="4"/>
        <v>9004.77479581331</v>
      </c>
      <c r="AK23" s="26">
        <f t="shared" si="4"/>
        <v>8535.96178847359</v>
      </c>
      <c r="AL23" s="26">
        <f t="shared" si="4"/>
        <v>8065.34951900551</v>
      </c>
      <c r="AM23" s="26">
        <f t="shared" si="4"/>
        <v>7592.688</v>
      </c>
      <c r="AP23" s="7" t="s">
        <v>146</v>
      </c>
      <c r="AQ23" s="37" t="s">
        <v>147</v>
      </c>
    </row>
    <row r="24" spans="1:39">
      <c r="A24" s="6" t="s">
        <v>148</v>
      </c>
      <c r="B24" s="12" t="s">
        <v>145</v>
      </c>
      <c r="C24" s="26">
        <f t="shared" ref="C24:AM24" si="5">(C18-C23/1.1)*1.053*1.65</f>
        <v>113032.823436</v>
      </c>
      <c r="D24" s="26">
        <f t="shared" si="5"/>
        <v>107931.6689724</v>
      </c>
      <c r="E24" s="26">
        <f t="shared" si="5"/>
        <v>105086.081631821</v>
      </c>
      <c r="F24" s="26">
        <f t="shared" si="5"/>
        <v>102274.524935188</v>
      </c>
      <c r="G24" s="26">
        <f t="shared" si="5"/>
        <v>99490.9487255537</v>
      </c>
      <c r="H24" s="26">
        <f t="shared" si="5"/>
        <v>96728.6658251648</v>
      </c>
      <c r="I24" s="26">
        <f t="shared" si="5"/>
        <v>93980.25</v>
      </c>
      <c r="J24" s="26">
        <f t="shared" si="5"/>
        <v>92797.6163858796</v>
      </c>
      <c r="K24" s="26">
        <f t="shared" si="5"/>
        <v>91602.7830842535</v>
      </c>
      <c r="L24" s="26">
        <f t="shared" si="5"/>
        <v>90393.7673786339</v>
      </c>
      <c r="M24" s="26">
        <f t="shared" si="5"/>
        <v>89168.4185378528</v>
      </c>
      <c r="N24" s="26">
        <f t="shared" si="5"/>
        <v>87924.402774</v>
      </c>
      <c r="O24" s="26">
        <f t="shared" si="5"/>
        <v>85197.6026381196</v>
      </c>
      <c r="P24" s="26">
        <f t="shared" si="5"/>
        <v>82510.6221777065</v>
      </c>
      <c r="Q24" s="26">
        <f t="shared" si="5"/>
        <v>79861.7668846449</v>
      </c>
      <c r="R24" s="26">
        <f t="shared" si="5"/>
        <v>77249.3529687943</v>
      </c>
      <c r="S24" s="26">
        <f t="shared" si="5"/>
        <v>74671.7061267979</v>
      </c>
      <c r="T24" s="26">
        <f t="shared" si="5"/>
        <v>72453.5905849203</v>
      </c>
      <c r="U24" s="26">
        <f t="shared" si="5"/>
        <v>70222.0476882885</v>
      </c>
      <c r="V24" s="26">
        <f t="shared" si="5"/>
        <v>67975.0247746068</v>
      </c>
      <c r="W24" s="26">
        <f t="shared" si="5"/>
        <v>65710.3937858659</v>
      </c>
      <c r="X24" s="26">
        <f t="shared" si="5"/>
        <v>63425.9472551923</v>
      </c>
      <c r="Y24" s="26">
        <f t="shared" si="5"/>
        <v>61119.3941019238</v>
      </c>
      <c r="Z24" s="26">
        <f t="shared" si="5"/>
        <v>58788.3552252448</v>
      </c>
      <c r="AA24" s="26">
        <f t="shared" si="5"/>
        <v>56430.3588862243</v>
      </c>
      <c r="AB24" s="26">
        <f t="shared" si="5"/>
        <v>54042.835867586</v>
      </c>
      <c r="AC24" s="26">
        <f t="shared" si="5"/>
        <v>51623.1144</v>
      </c>
      <c r="AD24" s="26">
        <f t="shared" si="5"/>
        <v>49673.513967355</v>
      </c>
      <c r="AE24" s="26">
        <f t="shared" si="5"/>
        <v>47723.2250080263</v>
      </c>
      <c r="AF24" s="26">
        <f t="shared" si="5"/>
        <v>45771.3096346996</v>
      </c>
      <c r="AG24" s="26">
        <f t="shared" si="5"/>
        <v>43816.81566465</v>
      </c>
      <c r="AH24" s="26">
        <f t="shared" si="5"/>
        <v>41858.7759363372</v>
      </c>
      <c r="AI24" s="26">
        <f t="shared" si="5"/>
        <v>39896.2076083329</v>
      </c>
      <c r="AJ24" s="26">
        <f t="shared" si="5"/>
        <v>37928.1114399657</v>
      </c>
      <c r="AK24" s="26">
        <f t="shared" si="5"/>
        <v>35953.4710530507</v>
      </c>
      <c r="AL24" s="26">
        <f t="shared" si="5"/>
        <v>33971.2521740512</v>
      </c>
      <c r="AM24" s="26">
        <f t="shared" si="5"/>
        <v>31980.401856</v>
      </c>
    </row>
    <row r="25" spans="1:43">
      <c r="A25" s="6" t="s">
        <v>149</v>
      </c>
      <c r="B25" s="12" t="s">
        <v>145</v>
      </c>
      <c r="C25" s="26">
        <f t="shared" ref="C25:AM25" si="6">C19*1.1</f>
        <v>11055.99</v>
      </c>
      <c r="D25" s="26">
        <f t="shared" si="6"/>
        <v>10568.91</v>
      </c>
      <c r="E25" s="26">
        <f t="shared" si="6"/>
        <v>10313.0347687203</v>
      </c>
      <c r="F25" s="26">
        <f t="shared" si="6"/>
        <v>10063.3543232779</v>
      </c>
      <c r="G25" s="26">
        <f t="shared" si="6"/>
        <v>9819.71868678198</v>
      </c>
      <c r="H25" s="26">
        <f t="shared" si="6"/>
        <v>9581.98151330984</v>
      </c>
      <c r="I25" s="26">
        <f t="shared" si="6"/>
        <v>9350</v>
      </c>
      <c r="J25" s="26">
        <f t="shared" si="6"/>
        <v>9361.72627012693</v>
      </c>
      <c r="K25" s="26">
        <f t="shared" si="6"/>
        <v>9372.54836942382</v>
      </c>
      <c r="L25" s="26">
        <f t="shared" si="6"/>
        <v>9382.48107752427</v>
      </c>
      <c r="M25" s="26">
        <f t="shared" si="6"/>
        <v>9391.53898589773</v>
      </c>
      <c r="N25" s="26">
        <f t="shared" si="6"/>
        <v>9399.7365</v>
      </c>
      <c r="O25" s="26">
        <f t="shared" si="6"/>
        <v>9732.52654750589</v>
      </c>
      <c r="P25" s="26">
        <f t="shared" si="6"/>
        <v>10077.0987567478</v>
      </c>
      <c r="Q25" s="26">
        <f t="shared" si="6"/>
        <v>10433.8702656066</v>
      </c>
      <c r="R25" s="26">
        <f t="shared" si="6"/>
        <v>10803.2729803913</v>
      </c>
      <c r="S25" s="26">
        <f t="shared" si="6"/>
        <v>11185.7540987039</v>
      </c>
      <c r="T25" s="26">
        <f t="shared" si="6"/>
        <v>11665.4386851513</v>
      </c>
      <c r="U25" s="26">
        <f t="shared" si="6"/>
        <v>12165.6938384506</v>
      </c>
      <c r="V25" s="26">
        <f t="shared" si="6"/>
        <v>12687.4016970579</v>
      </c>
      <c r="W25" s="26">
        <f t="shared" si="6"/>
        <v>13231.4822286378</v>
      </c>
      <c r="X25" s="26">
        <f t="shared" si="6"/>
        <v>13798.8948523129</v>
      </c>
      <c r="Y25" s="26">
        <f t="shared" si="6"/>
        <v>14390.6401304815</v>
      </c>
      <c r="Z25" s="26">
        <f t="shared" si="6"/>
        <v>15007.7615331863</v>
      </c>
      <c r="AA25" s="26">
        <f t="shared" si="6"/>
        <v>15651.3472781458</v>
      </c>
      <c r="AB25" s="26">
        <f t="shared" si="6"/>
        <v>16322.532249692</v>
      </c>
      <c r="AC25" s="26">
        <f t="shared" si="6"/>
        <v>17022.5</v>
      </c>
      <c r="AD25" s="26">
        <f t="shared" si="6"/>
        <v>17557.7791684175</v>
      </c>
      <c r="AE25" s="26">
        <f t="shared" si="6"/>
        <v>18109.890399584</v>
      </c>
      <c r="AF25" s="26">
        <f t="shared" si="6"/>
        <v>18679.3629842937</v>
      </c>
      <c r="AG25" s="26">
        <f t="shared" si="6"/>
        <v>19266.7428570975</v>
      </c>
      <c r="AH25" s="26">
        <f t="shared" si="6"/>
        <v>19872.5931196712</v>
      </c>
      <c r="AI25" s="26">
        <f t="shared" si="6"/>
        <v>20497.4945806433</v>
      </c>
      <c r="AJ25" s="26">
        <f t="shared" si="6"/>
        <v>21142.0463123965</v>
      </c>
      <c r="AK25" s="26">
        <f t="shared" si="6"/>
        <v>21806.866225379</v>
      </c>
      <c r="AL25" s="26">
        <f t="shared" si="6"/>
        <v>22492.5916604744</v>
      </c>
      <c r="AM25" s="26">
        <f t="shared" si="6"/>
        <v>23199.88</v>
      </c>
      <c r="AP25" s="20" t="s">
        <v>150</v>
      </c>
      <c r="AQ25" s="11"/>
    </row>
    <row r="26" spans="1:43">
      <c r="A26" s="6" t="s">
        <v>151</v>
      </c>
      <c r="B26" s="12" t="s">
        <v>145</v>
      </c>
      <c r="C26" s="26">
        <f t="shared" ref="C26:AM26" si="7">C20*0.5</f>
        <v>502.545</v>
      </c>
      <c r="D26" s="26">
        <f t="shared" si="7"/>
        <v>528.4455</v>
      </c>
      <c r="E26" s="26">
        <f t="shared" si="7"/>
        <v>607.667418052208</v>
      </c>
      <c r="F26" s="26">
        <f t="shared" si="7"/>
        <v>698.765891586233</v>
      </c>
      <c r="G26" s="26">
        <f t="shared" si="7"/>
        <v>803.521394662561</v>
      </c>
      <c r="H26" s="26">
        <f t="shared" si="7"/>
        <v>923.981321147225</v>
      </c>
      <c r="I26" s="26">
        <f t="shared" si="7"/>
        <v>1062.5</v>
      </c>
      <c r="J26" s="26">
        <f t="shared" si="7"/>
        <v>1157.11330981028</v>
      </c>
      <c r="K26" s="26">
        <f t="shared" si="7"/>
        <v>1260.15172869657</v>
      </c>
      <c r="L26" s="26">
        <f t="shared" si="7"/>
        <v>1372.36549426376</v>
      </c>
      <c r="M26" s="26">
        <f t="shared" si="7"/>
        <v>1494.57165114067</v>
      </c>
      <c r="N26" s="26">
        <f t="shared" si="7"/>
        <v>1627.66</v>
      </c>
      <c r="O26" s="26">
        <f t="shared" si="7"/>
        <v>1628.49863535784</v>
      </c>
      <c r="P26" s="26">
        <f t="shared" si="7"/>
        <v>1629.33770281407</v>
      </c>
      <c r="Q26" s="26">
        <f t="shared" si="7"/>
        <v>1630.17720259132</v>
      </c>
      <c r="R26" s="26">
        <f t="shared" si="7"/>
        <v>1631.01713491234</v>
      </c>
      <c r="S26" s="26">
        <f t="shared" si="7"/>
        <v>1631.8575</v>
      </c>
      <c r="T26" s="26">
        <f t="shared" si="7"/>
        <v>1721.48928911731</v>
      </c>
      <c r="U26" s="26">
        <f t="shared" si="7"/>
        <v>1816.04421497932</v>
      </c>
      <c r="V26" s="26">
        <f t="shared" si="7"/>
        <v>1915.79268695358</v>
      </c>
      <c r="W26" s="26">
        <f t="shared" si="7"/>
        <v>2021.01996697619</v>
      </c>
      <c r="X26" s="26">
        <f t="shared" si="7"/>
        <v>2132.02698534751</v>
      </c>
      <c r="Y26" s="26">
        <f t="shared" si="7"/>
        <v>2249.13120133639</v>
      </c>
      <c r="Z26" s="26">
        <f t="shared" si="7"/>
        <v>2372.66751105421</v>
      </c>
      <c r="AA26" s="26">
        <f t="shared" si="7"/>
        <v>2502.98920519497</v>
      </c>
      <c r="AB26" s="26">
        <f t="shared" si="7"/>
        <v>2640.46897938048</v>
      </c>
      <c r="AC26" s="26">
        <f t="shared" si="7"/>
        <v>2785.5</v>
      </c>
      <c r="AD26" s="26">
        <f t="shared" si="7"/>
        <v>2821.18312711472</v>
      </c>
      <c r="AE26" s="26">
        <f t="shared" si="7"/>
        <v>2857.32336625984</v>
      </c>
      <c r="AF26" s="26">
        <f t="shared" si="7"/>
        <v>2893.92657318359</v>
      </c>
      <c r="AG26" s="26">
        <f t="shared" si="7"/>
        <v>2930.99867864817</v>
      </c>
      <c r="AH26" s="26">
        <f t="shared" si="7"/>
        <v>2968.54568939069</v>
      </c>
      <c r="AI26" s="26">
        <f t="shared" si="7"/>
        <v>3006.57368909643</v>
      </c>
      <c r="AJ26" s="26">
        <f t="shared" si="7"/>
        <v>3045.08883938464</v>
      </c>
      <c r="AK26" s="26">
        <f t="shared" si="7"/>
        <v>3084.09738080678</v>
      </c>
      <c r="AL26" s="26">
        <f t="shared" si="7"/>
        <v>3123.60563385777</v>
      </c>
      <c r="AM26" s="26">
        <f t="shared" si="7"/>
        <v>3163.62</v>
      </c>
      <c r="AP26" s="7" t="s">
        <v>77</v>
      </c>
      <c r="AQ26" s="37" t="s">
        <v>78</v>
      </c>
    </row>
    <row r="27" spans="1:39">
      <c r="A27" s="6" t="s">
        <v>152</v>
      </c>
      <c r="B27" s="12" t="s">
        <v>145</v>
      </c>
      <c r="C27" s="26">
        <f t="shared" ref="C27:AM27" si="8">(C20-C26/1.1)*1.053*1.65</f>
        <v>952.523793</v>
      </c>
      <c r="D27" s="26">
        <f t="shared" si="8"/>
        <v>1001.6156007</v>
      </c>
      <c r="E27" s="26">
        <f t="shared" si="8"/>
        <v>1151.77282417616</v>
      </c>
      <c r="F27" s="26">
        <f t="shared" si="8"/>
        <v>1324.44087091255</v>
      </c>
      <c r="G27" s="26">
        <f t="shared" si="8"/>
        <v>1522.99445144342</v>
      </c>
      <c r="H27" s="26">
        <f t="shared" si="8"/>
        <v>1751.31419610245</v>
      </c>
      <c r="I27" s="26">
        <f t="shared" si="8"/>
        <v>2013.8625</v>
      </c>
      <c r="J27" s="26">
        <f t="shared" si="8"/>
        <v>2193.19256741441</v>
      </c>
      <c r="K27" s="26">
        <f t="shared" si="8"/>
        <v>2388.49158657148</v>
      </c>
      <c r="L27" s="26">
        <f t="shared" si="8"/>
        <v>2601.18155782753</v>
      </c>
      <c r="M27" s="26">
        <f t="shared" si="8"/>
        <v>2832.81110757203</v>
      </c>
      <c r="N27" s="26">
        <f t="shared" si="8"/>
        <v>3085.066764</v>
      </c>
      <c r="O27" s="26">
        <f t="shared" si="8"/>
        <v>3086.65631345725</v>
      </c>
      <c r="P27" s="26">
        <f t="shared" si="8"/>
        <v>3088.24668191379</v>
      </c>
      <c r="Q27" s="26">
        <f t="shared" si="8"/>
        <v>3089.83786979158</v>
      </c>
      <c r="R27" s="26">
        <f t="shared" si="8"/>
        <v>3091.42987751285</v>
      </c>
      <c r="S27" s="26">
        <f t="shared" si="8"/>
        <v>3093.0227055</v>
      </c>
      <c r="T27" s="26">
        <f t="shared" si="8"/>
        <v>3262.91079859295</v>
      </c>
      <c r="U27" s="26">
        <f t="shared" si="8"/>
        <v>3442.1302050718</v>
      </c>
      <c r="V27" s="26">
        <f t="shared" si="8"/>
        <v>3631.19345885181</v>
      </c>
      <c r="W27" s="26">
        <f t="shared" si="8"/>
        <v>3830.64124540667</v>
      </c>
      <c r="X27" s="26">
        <f t="shared" si="8"/>
        <v>4041.04394802768</v>
      </c>
      <c r="Y27" s="26">
        <f t="shared" si="8"/>
        <v>4263.003279013</v>
      </c>
      <c r="Z27" s="26">
        <f t="shared" si="8"/>
        <v>4497.15400045215</v>
      </c>
      <c r="AA27" s="26">
        <f t="shared" si="8"/>
        <v>4744.16573952654</v>
      </c>
      <c r="AB27" s="26">
        <f t="shared" si="8"/>
        <v>5004.74490351776</v>
      </c>
      <c r="AC27" s="26">
        <f t="shared" si="8"/>
        <v>5279.6367</v>
      </c>
      <c r="AD27" s="26">
        <f t="shared" si="8"/>
        <v>5347.27049913324</v>
      </c>
      <c r="AE27" s="26">
        <f t="shared" si="8"/>
        <v>5415.7707084089</v>
      </c>
      <c r="AF27" s="26">
        <f t="shared" si="8"/>
        <v>5485.14842681218</v>
      </c>
      <c r="AG27" s="26">
        <f t="shared" si="8"/>
        <v>5555.41489550974</v>
      </c>
      <c r="AH27" s="26">
        <f t="shared" si="8"/>
        <v>5626.58149967112</v>
      </c>
      <c r="AI27" s="26">
        <f t="shared" si="8"/>
        <v>5698.65977031337</v>
      </c>
      <c r="AJ27" s="26">
        <f t="shared" si="8"/>
        <v>5771.66138616965</v>
      </c>
      <c r="AK27" s="26">
        <f t="shared" si="8"/>
        <v>5845.59817558117</v>
      </c>
      <c r="AL27" s="26">
        <f t="shared" si="8"/>
        <v>5920.48211841402</v>
      </c>
      <c r="AM27" s="26">
        <f t="shared" si="8"/>
        <v>5996.325348</v>
      </c>
    </row>
    <row r="28" spans="1:43">
      <c r="A28" s="8" t="s">
        <v>153</v>
      </c>
      <c r="B28" s="12" t="s">
        <v>145</v>
      </c>
      <c r="C28" s="28">
        <f t="shared" ref="C28:AM28" si="9">C23+C25+C26</f>
        <v>38394.438</v>
      </c>
      <c r="D28" s="28">
        <f t="shared" si="9"/>
        <v>36722.1582</v>
      </c>
      <c r="E28" s="28">
        <f t="shared" si="9"/>
        <v>35869.914350073</v>
      </c>
      <c r="F28" s="28">
        <f t="shared" si="9"/>
        <v>35043.8212915944</v>
      </c>
      <c r="G28" s="28">
        <f t="shared" si="9"/>
        <v>34244.0731122028</v>
      </c>
      <c r="H28" s="28">
        <f t="shared" si="9"/>
        <v>33470.983210802</v>
      </c>
      <c r="I28" s="28">
        <f t="shared" si="9"/>
        <v>32725</v>
      </c>
      <c r="J28" s="28">
        <f t="shared" si="9"/>
        <v>32550.5623686076</v>
      </c>
      <c r="K28" s="28">
        <f t="shared" si="9"/>
        <v>32380.7492634228</v>
      </c>
      <c r="L28" s="28">
        <f t="shared" si="9"/>
        <v>32215.8549712737</v>
      </c>
      <c r="M28" s="28">
        <f t="shared" si="9"/>
        <v>32056.2005083235</v>
      </c>
      <c r="N28" s="28">
        <f t="shared" si="9"/>
        <v>31902.136</v>
      </c>
      <c r="O28" s="28">
        <f t="shared" si="9"/>
        <v>31588.3762365484</v>
      </c>
      <c r="P28" s="28">
        <f t="shared" si="9"/>
        <v>31295.8529310022</v>
      </c>
      <c r="Q28" s="28">
        <f t="shared" si="9"/>
        <v>31024.5809165941</v>
      </c>
      <c r="R28" s="28">
        <f t="shared" si="9"/>
        <v>30774.5923396138</v>
      </c>
      <c r="S28" s="28">
        <f t="shared" si="9"/>
        <v>30545.9368899665</v>
      </c>
      <c r="T28" s="28">
        <f t="shared" si="9"/>
        <v>30588.635140679</v>
      </c>
      <c r="U28" s="28">
        <f t="shared" si="9"/>
        <v>30653.6392139922</v>
      </c>
      <c r="V28" s="28">
        <f t="shared" si="9"/>
        <v>30741.6143210026</v>
      </c>
      <c r="W28" s="28">
        <f t="shared" si="9"/>
        <v>30853.2604543665</v>
      </c>
      <c r="X28" s="28">
        <f t="shared" si="9"/>
        <v>30989.313873556</v>
      </c>
      <c r="Y28" s="28">
        <f t="shared" si="9"/>
        <v>31150.5486589602</v>
      </c>
      <c r="Z28" s="28">
        <f t="shared" si="9"/>
        <v>31337.7783379833</v>
      </c>
      <c r="AA28" s="28">
        <f t="shared" si="9"/>
        <v>31551.857586433</v>
      </c>
      <c r="AB28" s="28">
        <f t="shared" si="9"/>
        <v>31793.6840086513</v>
      </c>
      <c r="AC28" s="28">
        <f t="shared" si="9"/>
        <v>32064.2</v>
      </c>
      <c r="AD28" s="28">
        <f t="shared" si="9"/>
        <v>32172.2941966137</v>
      </c>
      <c r="AE28" s="28">
        <f t="shared" si="9"/>
        <v>32297.514100133</v>
      </c>
      <c r="AF28" s="28">
        <f t="shared" si="9"/>
        <v>32440.1721867981</v>
      </c>
      <c r="AG28" s="28">
        <f t="shared" si="9"/>
        <v>32600.5942576473</v>
      </c>
      <c r="AH28" s="28">
        <f t="shared" si="9"/>
        <v>32779.1198005949</v>
      </c>
      <c r="AI28" s="28">
        <f t="shared" si="9"/>
        <v>32976.1023647855</v>
      </c>
      <c r="AJ28" s="28">
        <f t="shared" si="9"/>
        <v>33191.9099475944</v>
      </c>
      <c r="AK28" s="28">
        <f t="shared" si="9"/>
        <v>33426.9253946593</v>
      </c>
      <c r="AL28" s="28">
        <f t="shared" si="9"/>
        <v>33681.5468133377</v>
      </c>
      <c r="AM28" s="28">
        <f t="shared" si="9"/>
        <v>33956.188</v>
      </c>
      <c r="AP28" s="7" t="s">
        <v>79</v>
      </c>
      <c r="AQ28" s="37" t="s">
        <v>80</v>
      </c>
    </row>
    <row r="29" spans="1:43">
      <c r="A29" s="8" t="s">
        <v>154</v>
      </c>
      <c r="B29" s="12" t="s">
        <v>145</v>
      </c>
      <c r="C29" s="28">
        <f t="shared" ref="C29:AM29" si="10">C24+C27</f>
        <v>113985.347229</v>
      </c>
      <c r="D29" s="28">
        <f t="shared" si="10"/>
        <v>108933.2845731</v>
      </c>
      <c r="E29" s="28">
        <f t="shared" si="10"/>
        <v>106237.854455998</v>
      </c>
      <c r="F29" s="28">
        <f t="shared" si="10"/>
        <v>103598.965806101</v>
      </c>
      <c r="G29" s="28">
        <f t="shared" si="10"/>
        <v>101013.943176997</v>
      </c>
      <c r="H29" s="28">
        <f t="shared" si="10"/>
        <v>98479.9800212672</v>
      </c>
      <c r="I29" s="28">
        <f t="shared" si="10"/>
        <v>95994.1125</v>
      </c>
      <c r="J29" s="28">
        <f t="shared" si="10"/>
        <v>94990.8089532941</v>
      </c>
      <c r="K29" s="28">
        <f t="shared" si="10"/>
        <v>93991.274670825</v>
      </c>
      <c r="L29" s="28">
        <f t="shared" si="10"/>
        <v>92994.9489364614</v>
      </c>
      <c r="M29" s="28">
        <f t="shared" si="10"/>
        <v>92001.2296454249</v>
      </c>
      <c r="N29" s="28">
        <f t="shared" si="10"/>
        <v>91009.469538</v>
      </c>
      <c r="O29" s="28">
        <f t="shared" si="10"/>
        <v>88284.2589515769</v>
      </c>
      <c r="P29" s="28">
        <f t="shared" si="10"/>
        <v>85598.8688596203</v>
      </c>
      <c r="Q29" s="28">
        <f t="shared" si="10"/>
        <v>82951.6047544364</v>
      </c>
      <c r="R29" s="28">
        <f t="shared" si="10"/>
        <v>80340.7828463072</v>
      </c>
      <c r="S29" s="28">
        <f t="shared" si="10"/>
        <v>77764.7288322979</v>
      </c>
      <c r="T29" s="28">
        <f t="shared" si="10"/>
        <v>75716.5013835132</v>
      </c>
      <c r="U29" s="28">
        <f t="shared" si="10"/>
        <v>73664.1778933603</v>
      </c>
      <c r="V29" s="28">
        <f t="shared" si="10"/>
        <v>71606.2182334586</v>
      </c>
      <c r="W29" s="28">
        <f t="shared" si="10"/>
        <v>69541.0350312725</v>
      </c>
      <c r="X29" s="28">
        <f t="shared" si="10"/>
        <v>67466.99120322</v>
      </c>
      <c r="Y29" s="28">
        <f t="shared" si="10"/>
        <v>65382.3973809368</v>
      </c>
      <c r="Z29" s="28">
        <f t="shared" si="10"/>
        <v>63285.509225697</v>
      </c>
      <c r="AA29" s="28">
        <f t="shared" si="10"/>
        <v>61174.5246257509</v>
      </c>
      <c r="AB29" s="28">
        <f t="shared" si="10"/>
        <v>59047.5807711038</v>
      </c>
      <c r="AC29" s="28">
        <f t="shared" si="10"/>
        <v>56902.7511</v>
      </c>
      <c r="AD29" s="28">
        <f t="shared" si="10"/>
        <v>55020.7844664882</v>
      </c>
      <c r="AE29" s="28">
        <f t="shared" si="10"/>
        <v>53138.9957164352</v>
      </c>
      <c r="AF29" s="28">
        <f t="shared" si="10"/>
        <v>51256.4580615118</v>
      </c>
      <c r="AG29" s="28">
        <f t="shared" si="10"/>
        <v>49372.2305601597</v>
      </c>
      <c r="AH29" s="28">
        <f t="shared" si="10"/>
        <v>47485.3574360083</v>
      </c>
      <c r="AI29" s="28">
        <f t="shared" si="10"/>
        <v>45594.8673786463</v>
      </c>
      <c r="AJ29" s="28">
        <f t="shared" si="10"/>
        <v>43699.7728261353</v>
      </c>
      <c r="AK29" s="28">
        <f t="shared" si="10"/>
        <v>41799.0692286319</v>
      </c>
      <c r="AL29" s="28">
        <f t="shared" si="10"/>
        <v>39891.7342924652</v>
      </c>
      <c r="AM29" s="28">
        <f t="shared" si="10"/>
        <v>37976.727204</v>
      </c>
      <c r="AP29" s="7" t="s">
        <v>81</v>
      </c>
      <c r="AQ29" s="37" t="s">
        <v>82</v>
      </c>
    </row>
    <row r="30" ht="17.6" spans="1:43">
      <c r="A30" s="3" t="s">
        <v>155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P30" s="7" t="s">
        <v>83</v>
      </c>
      <c r="AQ30" s="37" t="s">
        <v>84</v>
      </c>
    </row>
    <row r="31" spans="1:39">
      <c r="A31" s="6" t="s">
        <v>156</v>
      </c>
      <c r="B31" s="12" t="s">
        <v>157</v>
      </c>
      <c r="C31" s="26">
        <f t="shared" ref="C31:AM31" si="11">C18*450+C19*550+C20*500</f>
        <v>46284394.5</v>
      </c>
      <c r="D31" s="26">
        <f t="shared" si="11"/>
        <v>44250104.55</v>
      </c>
      <c r="E31" s="26">
        <f t="shared" si="11"/>
        <v>43188003.0473631</v>
      </c>
      <c r="F31" s="26">
        <f t="shared" si="11"/>
        <v>42152994.6683206</v>
      </c>
      <c r="G31" s="26">
        <f t="shared" si="11"/>
        <v>41144630.2841909</v>
      </c>
      <c r="H31" s="26">
        <f t="shared" si="11"/>
        <v>40162502.6423195</v>
      </c>
      <c r="I31" s="26">
        <f t="shared" si="11"/>
        <v>39206250</v>
      </c>
      <c r="J31" s="26">
        <f t="shared" si="11"/>
        <v>38885560.6278793</v>
      </c>
      <c r="K31" s="26">
        <f t="shared" si="11"/>
        <v>38568499.661362</v>
      </c>
      <c r="L31" s="26">
        <f t="shared" si="11"/>
        <v>38255118.6322545</v>
      </c>
      <c r="M31" s="26">
        <f t="shared" si="11"/>
        <v>37945475.9510172</v>
      </c>
      <c r="N31" s="26">
        <f t="shared" si="11"/>
        <v>37639637.5</v>
      </c>
      <c r="O31" s="26">
        <f t="shared" si="11"/>
        <v>36835788.4896377</v>
      </c>
      <c r="P31" s="26">
        <f t="shared" si="11"/>
        <v>36052011.7883484</v>
      </c>
      <c r="Q31" s="26">
        <f t="shared" si="11"/>
        <v>35287912.5079889</v>
      </c>
      <c r="R31" s="26">
        <f t="shared" si="11"/>
        <v>34543106.9615732</v>
      </c>
      <c r="S31" s="26">
        <f t="shared" si="11"/>
        <v>33817222.4862458</v>
      </c>
      <c r="T31" s="26">
        <f t="shared" si="11"/>
        <v>33356769.3813085</v>
      </c>
      <c r="U31" s="26">
        <f t="shared" si="11"/>
        <v>32906742.8750481</v>
      </c>
      <c r="V31" s="26">
        <f t="shared" si="11"/>
        <v>32467123.4409693</v>
      </c>
      <c r="W31" s="26">
        <f t="shared" si="11"/>
        <v>32037898.4694239</v>
      </c>
      <c r="X31" s="26">
        <f t="shared" si="11"/>
        <v>31619062.4653474</v>
      </c>
      <c r="Y31" s="26">
        <f t="shared" si="11"/>
        <v>31210617.2572907</v>
      </c>
      <c r="Z31" s="26">
        <f t="shared" si="11"/>
        <v>30812572.2182616</v>
      </c>
      <c r="AA31" s="26">
        <f t="shared" si="11"/>
        <v>30424944.4989062</v>
      </c>
      <c r="AB31" s="26">
        <f t="shared" si="11"/>
        <v>30047759.2735947</v>
      </c>
      <c r="AC31" s="26">
        <f t="shared" si="11"/>
        <v>29681050</v>
      </c>
      <c r="AD31" s="26">
        <f t="shared" si="11"/>
        <v>29290070.5629456</v>
      </c>
      <c r="AE31" s="26">
        <f t="shared" si="11"/>
        <v>28907719.0674857</v>
      </c>
      <c r="AF31" s="26">
        <f t="shared" si="11"/>
        <v>28533932.0093118</v>
      </c>
      <c r="AG31" s="26">
        <f t="shared" si="11"/>
        <v>28168649.1900494</v>
      </c>
      <c r="AH31" s="26">
        <f t="shared" si="11"/>
        <v>27811813.7365258</v>
      </c>
      <c r="AI31" s="26">
        <f t="shared" si="11"/>
        <v>27463372.1219868</v>
      </c>
      <c r="AJ31" s="26">
        <f t="shared" si="11"/>
        <v>27123274.1893028</v>
      </c>
      <c r="AK31" s="26">
        <f t="shared" si="11"/>
        <v>26791473.1762066</v>
      </c>
      <c r="AL31" s="26">
        <f t="shared" si="11"/>
        <v>26467925.7426032</v>
      </c>
      <c r="AM31" s="26">
        <f t="shared" si="11"/>
        <v>26152592</v>
      </c>
    </row>
    <row r="32" spans="1:39">
      <c r="A32" s="6" t="s">
        <v>158</v>
      </c>
      <c r="B32" s="12" t="s">
        <v>157</v>
      </c>
      <c r="C32" s="29">
        <v>0</v>
      </c>
      <c r="D32" s="29">
        <v>0.05</v>
      </c>
      <c r="E32" s="29">
        <v>0.0737886580797276</v>
      </c>
      <c r="F32" s="29">
        <v>0.108895321224139</v>
      </c>
      <c r="G32" s="29">
        <v>0.160704792485802</v>
      </c>
      <c r="H32" s="29">
        <v>0.237163819690168</v>
      </c>
      <c r="I32" s="29">
        <v>0.35</v>
      </c>
      <c r="J32" s="29">
        <v>0.383113074478105</v>
      </c>
      <c r="K32" s="29">
        <v>0.419358936674475</v>
      </c>
      <c r="L32" s="29">
        <v>0.459033975826363</v>
      </c>
      <c r="M32" s="29">
        <v>0.502462622196417</v>
      </c>
      <c r="N32" s="29">
        <v>0.55</v>
      </c>
      <c r="O32" s="29">
        <v>0.577177987564521</v>
      </c>
      <c r="P32" s="29">
        <v>0.605698962416419</v>
      </c>
      <c r="Q32" s="29">
        <v>0.635629287631686</v>
      </c>
      <c r="R32" s="29">
        <v>0.667038605586049</v>
      </c>
      <c r="S32" s="29">
        <v>0.7</v>
      </c>
      <c r="T32" s="29">
        <v>0.713723717009391</v>
      </c>
      <c r="U32" s="29">
        <v>0.727716491745287</v>
      </c>
      <c r="V32" s="29">
        <v>0.741983599167828</v>
      </c>
      <c r="W32" s="29">
        <v>0.756530417654383</v>
      </c>
      <c r="X32" s="29">
        <v>0.771362431027076</v>
      </c>
      <c r="Y32" s="29">
        <v>0.786485230620063</v>
      </c>
      <c r="Z32" s="29">
        <v>0.801904517387342</v>
      </c>
      <c r="AA32" s="29">
        <v>0.817626104051879</v>
      </c>
      <c r="AB32" s="29">
        <v>0.833655917296877</v>
      </c>
      <c r="AC32" s="29">
        <v>0.85</v>
      </c>
      <c r="AD32" s="29">
        <v>0.859506951812361</v>
      </c>
      <c r="AE32" s="29">
        <v>0.869120235545619</v>
      </c>
      <c r="AF32" s="29">
        <v>0.878841040485007</v>
      </c>
      <c r="AG32" s="29">
        <v>0.888670569217497</v>
      </c>
      <c r="AH32" s="29">
        <v>0.898610037780572</v>
      </c>
      <c r="AI32" s="29">
        <v>0.90866067581267</v>
      </c>
      <c r="AJ32" s="29">
        <v>0.918823726705304</v>
      </c>
      <c r="AK32" s="29">
        <v>0.929100447756882</v>
      </c>
      <c r="AL32" s="29">
        <v>0.939492110328255</v>
      </c>
      <c r="AM32" s="29">
        <v>0.950000000000001</v>
      </c>
    </row>
    <row r="33" spans="1:39">
      <c r="A33" s="6" t="s">
        <v>159</v>
      </c>
      <c r="B33" s="12" t="s">
        <v>157</v>
      </c>
      <c r="C33" s="26">
        <f t="shared" ref="C33:AM33" si="12">C31*C32</f>
        <v>0</v>
      </c>
      <c r="D33" s="26">
        <f t="shared" si="12"/>
        <v>2212505.2275</v>
      </c>
      <c r="E33" s="26">
        <f t="shared" si="12"/>
        <v>3186784.79000811</v>
      </c>
      <c r="F33" s="26">
        <f t="shared" si="12"/>
        <v>4590263.89496619</v>
      </c>
      <c r="G33" s="26">
        <f t="shared" si="12"/>
        <v>6612139.27172595</v>
      </c>
      <c r="H33" s="26">
        <f t="shared" si="12"/>
        <v>9525092.53496896</v>
      </c>
      <c r="I33" s="26">
        <f t="shared" si="12"/>
        <v>13722187.5</v>
      </c>
      <c r="J33" s="26">
        <f t="shared" si="12"/>
        <v>14897566.6849516</v>
      </c>
      <c r="K33" s="26">
        <f t="shared" si="12"/>
        <v>16174045.0071186</v>
      </c>
      <c r="L33" s="26">
        <f t="shared" si="12"/>
        <v>17560399.2014729</v>
      </c>
      <c r="M33" s="26">
        <f t="shared" si="12"/>
        <v>19066183.3468392</v>
      </c>
      <c r="N33" s="26">
        <f t="shared" si="12"/>
        <v>20701800.625</v>
      </c>
      <c r="O33" s="26">
        <f t="shared" si="12"/>
        <v>21260806.2708014</v>
      </c>
      <c r="P33" s="26">
        <f t="shared" si="12"/>
        <v>21836666.1332271</v>
      </c>
      <c r="Q33" s="26">
        <f t="shared" si="12"/>
        <v>22430030.6894623</v>
      </c>
      <c r="R33" s="26">
        <f t="shared" si="12"/>
        <v>23041585.9002575</v>
      </c>
      <c r="S33" s="26">
        <f t="shared" si="12"/>
        <v>23672055.7403721</v>
      </c>
      <c r="T33" s="26">
        <f t="shared" si="12"/>
        <v>23807517.4302525</v>
      </c>
      <c r="U33" s="26">
        <f t="shared" si="12"/>
        <v>23946779.4797942</v>
      </c>
      <c r="V33" s="26">
        <f t="shared" si="12"/>
        <v>24090073.1053565</v>
      </c>
      <c r="W33" s="26">
        <f t="shared" si="12"/>
        <v>24237644.709842</v>
      </c>
      <c r="X33" s="26">
        <f t="shared" si="12"/>
        <v>24389756.8900673</v>
      </c>
      <c r="Y33" s="26">
        <f t="shared" si="12"/>
        <v>24546689.5113948</v>
      </c>
      <c r="Z33" s="26">
        <f t="shared" si="12"/>
        <v>24708740.8541477</v>
      </c>
      <c r="AA33" s="26">
        <f t="shared" si="12"/>
        <v>24876228.8366353</v>
      </c>
      <c r="AB33" s="26">
        <f t="shared" si="12"/>
        <v>25049492.3199444</v>
      </c>
      <c r="AC33" s="26">
        <f t="shared" si="12"/>
        <v>25228892.5</v>
      </c>
      <c r="AD33" s="26">
        <f t="shared" si="12"/>
        <v>25175019.2679264</v>
      </c>
      <c r="AE33" s="26">
        <f t="shared" si="12"/>
        <v>25124283.6050197</v>
      </c>
      <c r="AF33" s="26">
        <f t="shared" si="12"/>
        <v>25076790.496192</v>
      </c>
      <c r="AG33" s="26">
        <f t="shared" si="12"/>
        <v>25032649.5098092</v>
      </c>
      <c r="AH33" s="26">
        <f t="shared" si="12"/>
        <v>24991974.9925257</v>
      </c>
      <c r="AI33" s="26">
        <f t="shared" si="12"/>
        <v>24954886.2724593</v>
      </c>
      <c r="AJ33" s="26">
        <f t="shared" si="12"/>
        <v>24921507.871065</v>
      </c>
      <c r="AK33" s="26">
        <f t="shared" si="12"/>
        <v>24891969.7240801</v>
      </c>
      <c r="AL33" s="26">
        <f t="shared" si="12"/>
        <v>24866407.4119299</v>
      </c>
      <c r="AM33" s="26">
        <f t="shared" si="12"/>
        <v>24844962.4</v>
      </c>
    </row>
    <row r="34" ht="17.6" spans="1:39">
      <c r="A34" s="3" t="s">
        <v>160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46" spans="1:39">
      <c r="A35" s="20" t="s">
        <v>161</v>
      </c>
      <c r="B35" s="12" t="s">
        <v>162</v>
      </c>
      <c r="C35" s="30" t="s">
        <v>163</v>
      </c>
      <c r="D35" s="30" t="s">
        <v>164</v>
      </c>
      <c r="E35" s="30" t="s">
        <v>165</v>
      </c>
      <c r="F35" s="30" t="s">
        <v>166</v>
      </c>
      <c r="G35" s="30" t="s">
        <v>167</v>
      </c>
      <c r="H35" s="30" t="s">
        <v>168</v>
      </c>
      <c r="I35" s="30" t="s">
        <v>166</v>
      </c>
      <c r="J35" s="30" t="s">
        <v>169</v>
      </c>
      <c r="K35" s="30" t="s">
        <v>170</v>
      </c>
      <c r="L35" s="30" t="s">
        <v>171</v>
      </c>
      <c r="M35" s="30" t="s">
        <v>172</v>
      </c>
      <c r="N35" s="30" t="s">
        <v>173</v>
      </c>
      <c r="O35" s="30" t="s">
        <v>174</v>
      </c>
      <c r="P35" s="30" t="s">
        <v>175</v>
      </c>
      <c r="Q35" s="30" t="s">
        <v>166</v>
      </c>
      <c r="R35" s="30" t="s">
        <v>166</v>
      </c>
      <c r="S35" s="30" t="s">
        <v>166</v>
      </c>
      <c r="T35" s="30" t="s">
        <v>166</v>
      </c>
      <c r="U35" s="30" t="s">
        <v>166</v>
      </c>
      <c r="V35" s="30" t="s">
        <v>176</v>
      </c>
      <c r="W35" s="30" t="s">
        <v>166</v>
      </c>
      <c r="X35" s="30" t="s">
        <v>166</v>
      </c>
      <c r="Y35" s="30" t="s">
        <v>166</v>
      </c>
      <c r="Z35" s="30" t="s">
        <v>177</v>
      </c>
      <c r="AA35" s="30" t="s">
        <v>166</v>
      </c>
      <c r="AB35" s="30" t="s">
        <v>166</v>
      </c>
      <c r="AC35" s="30" t="s">
        <v>166</v>
      </c>
      <c r="AD35" s="30" t="s">
        <v>166</v>
      </c>
      <c r="AE35" s="30" t="s">
        <v>166</v>
      </c>
      <c r="AF35" s="30" t="s">
        <v>166</v>
      </c>
      <c r="AG35" s="30" t="s">
        <v>166</v>
      </c>
      <c r="AH35" s="30" t="s">
        <v>166</v>
      </c>
      <c r="AI35" s="30" t="s">
        <v>166</v>
      </c>
      <c r="AJ35" s="30" t="s">
        <v>166</v>
      </c>
      <c r="AK35" s="30" t="s">
        <v>166</v>
      </c>
      <c r="AL35" s="30" t="s">
        <v>166</v>
      </c>
      <c r="AM35" s="30" t="s">
        <v>166</v>
      </c>
    </row>
    <row r="36" spans="1:39">
      <c r="A36" s="6" t="s">
        <v>178</v>
      </c>
      <c r="B36" s="12" t="s">
        <v>179</v>
      </c>
      <c r="C36" s="31">
        <v>0</v>
      </c>
      <c r="D36" s="31">
        <v>0.06</v>
      </c>
      <c r="E36" s="31">
        <v>0.00750000000000001</v>
      </c>
      <c r="F36" s="31">
        <v>0</v>
      </c>
      <c r="G36" s="31">
        <v>0.029</v>
      </c>
      <c r="H36" s="31">
        <v>0.023</v>
      </c>
      <c r="I36" s="31">
        <v>0</v>
      </c>
      <c r="J36" s="31">
        <v>0.00459999999999999</v>
      </c>
      <c r="K36" s="31">
        <v>0.0625</v>
      </c>
      <c r="L36" s="31">
        <v>0.002</v>
      </c>
      <c r="M36" s="31">
        <v>0.003</v>
      </c>
      <c r="N36" s="31">
        <v>0.037</v>
      </c>
      <c r="O36" s="31">
        <v>0.024</v>
      </c>
      <c r="P36" s="31">
        <v>0.00700000000000001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0.013</v>
      </c>
      <c r="W36" s="31">
        <v>0</v>
      </c>
      <c r="X36" s="31">
        <v>0</v>
      </c>
      <c r="Y36" s="31">
        <v>0</v>
      </c>
      <c r="Z36" s="31">
        <v>0.106</v>
      </c>
      <c r="AA36" s="31">
        <v>0</v>
      </c>
      <c r="AB36" s="31">
        <v>0</v>
      </c>
      <c r="AC36" s="31">
        <v>0</v>
      </c>
      <c r="AD36" s="31">
        <v>0</v>
      </c>
      <c r="AE36" s="31">
        <v>0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0</v>
      </c>
      <c r="AM36" s="31">
        <v>0</v>
      </c>
    </row>
    <row r="37" spans="1:39">
      <c r="A37" s="8" t="s">
        <v>180</v>
      </c>
      <c r="B37" s="12" t="e">
        <f>上年累计+当年新增</f>
        <v>#NAME?</v>
      </c>
      <c r="C37" s="32">
        <f>C36</f>
        <v>0</v>
      </c>
      <c r="D37" s="32">
        <f t="shared" ref="D37:AM37" si="13">C37+D36</f>
        <v>0.06</v>
      </c>
      <c r="E37" s="32">
        <f t="shared" si="13"/>
        <v>0.0675</v>
      </c>
      <c r="F37" s="32">
        <f t="shared" si="13"/>
        <v>0.0675</v>
      </c>
      <c r="G37" s="32">
        <f t="shared" si="13"/>
        <v>0.0965</v>
      </c>
      <c r="H37" s="32">
        <f t="shared" si="13"/>
        <v>0.1195</v>
      </c>
      <c r="I37" s="32">
        <f t="shared" si="13"/>
        <v>0.1195</v>
      </c>
      <c r="J37" s="32">
        <f t="shared" si="13"/>
        <v>0.1241</v>
      </c>
      <c r="K37" s="32">
        <f t="shared" si="13"/>
        <v>0.1866</v>
      </c>
      <c r="L37" s="32">
        <f t="shared" si="13"/>
        <v>0.1886</v>
      </c>
      <c r="M37" s="32">
        <f t="shared" si="13"/>
        <v>0.1916</v>
      </c>
      <c r="N37" s="32">
        <f t="shared" si="13"/>
        <v>0.2286</v>
      </c>
      <c r="O37" s="32">
        <f t="shared" si="13"/>
        <v>0.2526</v>
      </c>
      <c r="P37" s="32">
        <f t="shared" si="13"/>
        <v>0.2596</v>
      </c>
      <c r="Q37" s="32">
        <f t="shared" si="13"/>
        <v>0.2596</v>
      </c>
      <c r="R37" s="32">
        <f t="shared" si="13"/>
        <v>0.2596</v>
      </c>
      <c r="S37" s="32">
        <f t="shared" si="13"/>
        <v>0.2596</v>
      </c>
      <c r="T37" s="32">
        <f t="shared" si="13"/>
        <v>0.2596</v>
      </c>
      <c r="U37" s="32">
        <f t="shared" si="13"/>
        <v>0.2596</v>
      </c>
      <c r="V37" s="32">
        <f t="shared" si="13"/>
        <v>0.2726</v>
      </c>
      <c r="W37" s="32">
        <f t="shared" si="13"/>
        <v>0.2726</v>
      </c>
      <c r="X37" s="32">
        <f t="shared" si="13"/>
        <v>0.2726</v>
      </c>
      <c r="Y37" s="32">
        <f t="shared" si="13"/>
        <v>0.2726</v>
      </c>
      <c r="Z37" s="32">
        <f t="shared" si="13"/>
        <v>0.3786</v>
      </c>
      <c r="AA37" s="32">
        <f t="shared" si="13"/>
        <v>0.3786</v>
      </c>
      <c r="AB37" s="32">
        <f t="shared" si="13"/>
        <v>0.3786</v>
      </c>
      <c r="AC37" s="32">
        <f t="shared" si="13"/>
        <v>0.3786</v>
      </c>
      <c r="AD37" s="32">
        <f t="shared" si="13"/>
        <v>0.3786</v>
      </c>
      <c r="AE37" s="32">
        <f t="shared" si="13"/>
        <v>0.3786</v>
      </c>
      <c r="AF37" s="32">
        <f t="shared" si="13"/>
        <v>0.3786</v>
      </c>
      <c r="AG37" s="32">
        <f t="shared" si="13"/>
        <v>0.3786</v>
      </c>
      <c r="AH37" s="32">
        <f t="shared" si="13"/>
        <v>0.3786</v>
      </c>
      <c r="AI37" s="32">
        <f t="shared" si="13"/>
        <v>0.3786</v>
      </c>
      <c r="AJ37" s="32">
        <f t="shared" si="13"/>
        <v>0.3786</v>
      </c>
      <c r="AK37" s="32">
        <f t="shared" si="13"/>
        <v>0.3786</v>
      </c>
      <c r="AL37" s="32">
        <f t="shared" si="13"/>
        <v>0.3786</v>
      </c>
      <c r="AM37" s="32">
        <f t="shared" si="13"/>
        <v>0.3786</v>
      </c>
    </row>
    <row r="38" spans="1:39">
      <c r="A38" s="12" t="s">
        <v>181</v>
      </c>
      <c r="B38" s="12" t="e">
        <f>模型累计+0.066</f>
        <v>#NAME?</v>
      </c>
      <c r="C38" s="33">
        <f t="shared" ref="C38:AM38" si="14">C37+0.066</f>
        <v>0.066</v>
      </c>
      <c r="D38" s="33">
        <f t="shared" si="14"/>
        <v>0.126</v>
      </c>
      <c r="E38" s="33">
        <f t="shared" si="14"/>
        <v>0.1335</v>
      </c>
      <c r="F38" s="33">
        <f t="shared" si="14"/>
        <v>0.1335</v>
      </c>
      <c r="G38" s="33">
        <f t="shared" si="14"/>
        <v>0.1625</v>
      </c>
      <c r="H38" s="33">
        <f t="shared" si="14"/>
        <v>0.1855</v>
      </c>
      <c r="I38" s="33">
        <f t="shared" si="14"/>
        <v>0.1855</v>
      </c>
      <c r="J38" s="33">
        <f t="shared" si="14"/>
        <v>0.1901</v>
      </c>
      <c r="K38" s="33">
        <f t="shared" si="14"/>
        <v>0.2526</v>
      </c>
      <c r="L38" s="33">
        <f t="shared" si="14"/>
        <v>0.2546</v>
      </c>
      <c r="M38" s="33">
        <f t="shared" si="14"/>
        <v>0.2576</v>
      </c>
      <c r="N38" s="33">
        <f t="shared" si="14"/>
        <v>0.2946</v>
      </c>
      <c r="O38" s="33">
        <f t="shared" si="14"/>
        <v>0.3186</v>
      </c>
      <c r="P38" s="33">
        <f t="shared" si="14"/>
        <v>0.3256</v>
      </c>
      <c r="Q38" s="33">
        <f t="shared" si="14"/>
        <v>0.3256</v>
      </c>
      <c r="R38" s="33">
        <f t="shared" si="14"/>
        <v>0.3256</v>
      </c>
      <c r="S38" s="33">
        <f t="shared" si="14"/>
        <v>0.3256</v>
      </c>
      <c r="T38" s="33">
        <f t="shared" si="14"/>
        <v>0.3256</v>
      </c>
      <c r="U38" s="33">
        <f t="shared" si="14"/>
        <v>0.3256</v>
      </c>
      <c r="V38" s="33">
        <f t="shared" si="14"/>
        <v>0.3386</v>
      </c>
      <c r="W38" s="33">
        <f t="shared" si="14"/>
        <v>0.3386</v>
      </c>
      <c r="X38" s="33">
        <f t="shared" si="14"/>
        <v>0.3386</v>
      </c>
      <c r="Y38" s="33">
        <f t="shared" si="14"/>
        <v>0.3386</v>
      </c>
      <c r="Z38" s="33">
        <f t="shared" si="14"/>
        <v>0.4446</v>
      </c>
      <c r="AA38" s="33">
        <f t="shared" si="14"/>
        <v>0.4446</v>
      </c>
      <c r="AB38" s="33">
        <f t="shared" si="14"/>
        <v>0.4446</v>
      </c>
      <c r="AC38" s="33">
        <f t="shared" si="14"/>
        <v>0.4446</v>
      </c>
      <c r="AD38" s="33">
        <f t="shared" si="14"/>
        <v>0.4446</v>
      </c>
      <c r="AE38" s="33">
        <f t="shared" si="14"/>
        <v>0.4446</v>
      </c>
      <c r="AF38" s="33">
        <f t="shared" si="14"/>
        <v>0.4446</v>
      </c>
      <c r="AG38" s="33">
        <f t="shared" si="14"/>
        <v>0.4446</v>
      </c>
      <c r="AH38" s="33">
        <f t="shared" si="14"/>
        <v>0.4446</v>
      </c>
      <c r="AI38" s="33">
        <f t="shared" si="14"/>
        <v>0.4446</v>
      </c>
      <c r="AJ38" s="33">
        <f t="shared" si="14"/>
        <v>0.4446</v>
      </c>
      <c r="AK38" s="33">
        <f t="shared" si="14"/>
        <v>0.4446</v>
      </c>
      <c r="AL38" s="33">
        <f t="shared" si="14"/>
        <v>0.4446</v>
      </c>
      <c r="AM38" s="33">
        <f t="shared" si="14"/>
        <v>0.4446</v>
      </c>
    </row>
    <row r="39" ht="17.6" spans="1:39">
      <c r="A39" s="3" t="s">
        <v>182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20" t="s">
        <v>183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</row>
    <row r="41" spans="1:39">
      <c r="A41" s="6" t="s">
        <v>184</v>
      </c>
      <c r="B41" s="12" t="e">
        <f>粗钢产量×1.95</f>
        <v>#NAME?</v>
      </c>
      <c r="C41" s="26">
        <f t="shared" ref="C41:AM41" si="15">C13*1.95</f>
        <v>195992.55</v>
      </c>
      <c r="D41" s="26">
        <f t="shared" si="15"/>
        <v>187357.95</v>
      </c>
      <c r="E41" s="26">
        <f t="shared" si="15"/>
        <v>182821.979990952</v>
      </c>
      <c r="F41" s="26">
        <f t="shared" si="15"/>
        <v>178395.826639926</v>
      </c>
      <c r="G41" s="26">
        <f t="shared" si="15"/>
        <v>174076.831265681</v>
      </c>
      <c r="H41" s="26">
        <f t="shared" si="15"/>
        <v>169862.399554129</v>
      </c>
      <c r="I41" s="26">
        <f t="shared" si="15"/>
        <v>165750</v>
      </c>
      <c r="J41" s="26">
        <f t="shared" si="15"/>
        <v>164314.727513479</v>
      </c>
      <c r="K41" s="26">
        <f t="shared" si="15"/>
        <v>162891.883425815</v>
      </c>
      <c r="L41" s="26">
        <f t="shared" si="15"/>
        <v>161481.360116261</v>
      </c>
      <c r="M41" s="26">
        <f t="shared" si="15"/>
        <v>160083.050895984</v>
      </c>
      <c r="N41" s="26">
        <f t="shared" si="15"/>
        <v>158696.85</v>
      </c>
      <c r="O41" s="26">
        <f t="shared" si="15"/>
        <v>155082.041770152</v>
      </c>
      <c r="P41" s="26">
        <f t="shared" si="15"/>
        <v>151549.57190139</v>
      </c>
      <c r="Q41" s="26">
        <f t="shared" si="15"/>
        <v>148097.56488462</v>
      </c>
      <c r="R41" s="26">
        <f t="shared" si="15"/>
        <v>144724.187931231</v>
      </c>
      <c r="S41" s="26">
        <f t="shared" si="15"/>
        <v>141427.65</v>
      </c>
      <c r="T41" s="26">
        <f t="shared" si="15"/>
        <v>139204.54611472</v>
      </c>
      <c r="U41" s="26">
        <f t="shared" si="15"/>
        <v>137016.387241146</v>
      </c>
      <c r="V41" s="26">
        <f t="shared" si="15"/>
        <v>134862.624077982</v>
      </c>
      <c r="W41" s="26">
        <f t="shared" si="15"/>
        <v>132742.715958411</v>
      </c>
      <c r="X41" s="26">
        <f t="shared" si="15"/>
        <v>130656.130714368</v>
      </c>
      <c r="Y41" s="26">
        <f t="shared" si="15"/>
        <v>128602.344542946</v>
      </c>
      <c r="Z41" s="26">
        <f t="shared" si="15"/>
        <v>126580.841874906</v>
      </c>
      <c r="AA41" s="26">
        <f t="shared" si="15"/>
        <v>124591.115245254</v>
      </c>
      <c r="AB41" s="26">
        <f t="shared" si="15"/>
        <v>122632.665165846</v>
      </c>
      <c r="AC41" s="26">
        <f t="shared" si="15"/>
        <v>120705</v>
      </c>
      <c r="AD41" s="26">
        <f t="shared" si="15"/>
        <v>118784.425533153</v>
      </c>
      <c r="AE41" s="26">
        <f t="shared" si="15"/>
        <v>116894.409918738</v>
      </c>
      <c r="AF41" s="26">
        <f t="shared" si="15"/>
        <v>115034.466925431</v>
      </c>
      <c r="AG41" s="26">
        <f t="shared" si="15"/>
        <v>113204.118058489</v>
      </c>
      <c r="AH41" s="26">
        <f t="shared" si="15"/>
        <v>111402.892436642</v>
      </c>
      <c r="AI41" s="26">
        <f t="shared" si="15"/>
        <v>109630.32667096</v>
      </c>
      <c r="AJ41" s="26">
        <f t="shared" si="15"/>
        <v>107885.964745635</v>
      </c>
      <c r="AK41" s="26">
        <f t="shared" si="15"/>
        <v>106169.357900669</v>
      </c>
      <c r="AL41" s="26">
        <f t="shared" si="15"/>
        <v>104480.064516422</v>
      </c>
      <c r="AM41" s="26">
        <f t="shared" si="15"/>
        <v>102817.65</v>
      </c>
    </row>
    <row r="42" spans="1:39">
      <c r="A42" s="6" t="s">
        <v>185</v>
      </c>
      <c r="B42" s="12" t="e">
        <f>基准产量×1.95-当年曲线</f>
        <v>#NAME?</v>
      </c>
      <c r="C42" s="26">
        <f t="shared" ref="C42:AM42" si="16">100509*1.95-C41</f>
        <v>0</v>
      </c>
      <c r="D42" s="26">
        <f t="shared" si="16"/>
        <v>8634.60000000001</v>
      </c>
      <c r="E42" s="26">
        <f t="shared" si="16"/>
        <v>13170.5700090484</v>
      </c>
      <c r="F42" s="26">
        <f t="shared" si="16"/>
        <v>17596.723360074</v>
      </c>
      <c r="G42" s="26">
        <f t="shared" si="16"/>
        <v>21915.7187343194</v>
      </c>
      <c r="H42" s="26">
        <f t="shared" si="16"/>
        <v>26130.150445871</v>
      </c>
      <c r="I42" s="26">
        <f t="shared" si="16"/>
        <v>30242.55</v>
      </c>
      <c r="J42" s="26">
        <f t="shared" si="16"/>
        <v>31677.822486521</v>
      </c>
      <c r="K42" s="26">
        <f t="shared" si="16"/>
        <v>33100.6665741849</v>
      </c>
      <c r="L42" s="26">
        <f t="shared" si="16"/>
        <v>34511.1898837393</v>
      </c>
      <c r="M42" s="26">
        <f t="shared" si="16"/>
        <v>35909.499104016</v>
      </c>
      <c r="N42" s="26">
        <f t="shared" si="16"/>
        <v>37295.7</v>
      </c>
      <c r="O42" s="26">
        <f t="shared" si="16"/>
        <v>40910.5082298484</v>
      </c>
      <c r="P42" s="26">
        <f t="shared" si="16"/>
        <v>44442.9780986104</v>
      </c>
      <c r="Q42" s="26">
        <f t="shared" si="16"/>
        <v>47894.9851153795</v>
      </c>
      <c r="R42" s="26">
        <f t="shared" si="16"/>
        <v>51268.3620687686</v>
      </c>
      <c r="S42" s="26">
        <f t="shared" si="16"/>
        <v>54564.9</v>
      </c>
      <c r="T42" s="26">
        <f t="shared" si="16"/>
        <v>56788.0038852799</v>
      </c>
      <c r="U42" s="26">
        <f t="shared" si="16"/>
        <v>58976.1627588542</v>
      </c>
      <c r="V42" s="26">
        <f t="shared" si="16"/>
        <v>61129.9259220178</v>
      </c>
      <c r="W42" s="26">
        <f t="shared" si="16"/>
        <v>63249.8340415885</v>
      </c>
      <c r="X42" s="26">
        <f t="shared" si="16"/>
        <v>65336.419285632</v>
      </c>
      <c r="Y42" s="26">
        <f t="shared" si="16"/>
        <v>67390.2054570543</v>
      </c>
      <c r="Z42" s="26">
        <f t="shared" si="16"/>
        <v>69411.7081250936</v>
      </c>
      <c r="AA42" s="26">
        <f t="shared" si="16"/>
        <v>71401.4347547456</v>
      </c>
      <c r="AB42" s="26">
        <f t="shared" si="16"/>
        <v>73359.8848341542</v>
      </c>
      <c r="AC42" s="26">
        <f t="shared" si="16"/>
        <v>75287.55</v>
      </c>
      <c r="AD42" s="26">
        <f t="shared" si="16"/>
        <v>77208.1244668467</v>
      </c>
      <c r="AE42" s="26">
        <f t="shared" si="16"/>
        <v>79098.1400812622</v>
      </c>
      <c r="AF42" s="26">
        <f t="shared" si="16"/>
        <v>80958.0830745686</v>
      </c>
      <c r="AG42" s="26">
        <f t="shared" si="16"/>
        <v>82788.4319415112</v>
      </c>
      <c r="AH42" s="26">
        <f t="shared" si="16"/>
        <v>84589.6575633581</v>
      </c>
      <c r="AI42" s="26">
        <f t="shared" si="16"/>
        <v>86362.2233290404</v>
      </c>
      <c r="AJ42" s="26">
        <f t="shared" si="16"/>
        <v>88106.585254365</v>
      </c>
      <c r="AK42" s="26">
        <f t="shared" si="16"/>
        <v>89823.1920993308</v>
      </c>
      <c r="AL42" s="26">
        <f t="shared" si="16"/>
        <v>91512.4854835778</v>
      </c>
      <c r="AM42" s="26">
        <f t="shared" si="16"/>
        <v>93174.9</v>
      </c>
    </row>
    <row r="43" spans="1:39">
      <c r="A43" s="20" t="s">
        <v>186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</row>
    <row r="44" spans="1:39">
      <c r="A44" s="6" t="s">
        <v>187</v>
      </c>
      <c r="B44" s="12"/>
      <c r="C44" s="26">
        <f t="shared" ref="C44:AM44" si="17">((C28-38394.44)/1.1)*(1.8-0.45)</f>
        <v>-0.0024545454639751</v>
      </c>
      <c r="D44" s="26">
        <f t="shared" si="17"/>
        <v>-2052.34584545454</v>
      </c>
      <c r="E44" s="26">
        <f t="shared" si="17"/>
        <v>-3098.28147945586</v>
      </c>
      <c r="F44" s="26">
        <f t="shared" si="17"/>
        <v>-4112.12296031595</v>
      </c>
      <c r="G44" s="26">
        <f t="shared" si="17"/>
        <v>-5093.63208956932</v>
      </c>
      <c r="H44" s="26">
        <f t="shared" si="17"/>
        <v>-6042.42424128848</v>
      </c>
      <c r="I44" s="26">
        <f t="shared" si="17"/>
        <v>-6957.94909090909</v>
      </c>
      <c r="J44" s="26">
        <f t="shared" si="17"/>
        <v>-7172.03163852705</v>
      </c>
      <c r="K44" s="26">
        <f t="shared" si="17"/>
        <v>-7380.43863125389</v>
      </c>
      <c r="L44" s="26">
        <f t="shared" si="17"/>
        <v>-7582.80889889131</v>
      </c>
      <c r="M44" s="26">
        <f t="shared" si="17"/>
        <v>-7778.74846705753</v>
      </c>
      <c r="N44" s="26">
        <f t="shared" si="17"/>
        <v>-7967.82763636364</v>
      </c>
      <c r="O44" s="26">
        <f t="shared" si="17"/>
        <v>-8352.89643696339</v>
      </c>
      <c r="P44" s="26">
        <f t="shared" si="17"/>
        <v>-8711.90231195189</v>
      </c>
      <c r="Q44" s="26">
        <f t="shared" si="17"/>
        <v>-9044.82705690724</v>
      </c>
      <c r="R44" s="26">
        <f t="shared" si="17"/>
        <v>-9351.63121956486</v>
      </c>
      <c r="S44" s="26">
        <f t="shared" si="17"/>
        <v>-9632.25381685934</v>
      </c>
      <c r="T44" s="26">
        <f t="shared" si="17"/>
        <v>-9579.85141825763</v>
      </c>
      <c r="U44" s="26">
        <f t="shared" si="17"/>
        <v>-9500.07369191864</v>
      </c>
      <c r="V44" s="26">
        <f t="shared" si="17"/>
        <v>-9392.10424240587</v>
      </c>
      <c r="W44" s="26">
        <f t="shared" si="17"/>
        <v>-9255.08398782291</v>
      </c>
      <c r="X44" s="26">
        <f t="shared" si="17"/>
        <v>-9088.10933699942</v>
      </c>
      <c r="Y44" s="26">
        <f t="shared" si="17"/>
        <v>-8890.23028218516</v>
      </c>
      <c r="Z44" s="26">
        <f t="shared" si="17"/>
        <v>-8660.44840338409</v>
      </c>
      <c r="AA44" s="26">
        <f t="shared" si="17"/>
        <v>-8397.71478028681</v>
      </c>
      <c r="AB44" s="26">
        <f t="shared" si="17"/>
        <v>-8100.92780756429</v>
      </c>
      <c r="AC44" s="26">
        <f t="shared" si="17"/>
        <v>-7768.93090909091</v>
      </c>
      <c r="AD44" s="26">
        <f t="shared" si="17"/>
        <v>-7636.26984961051</v>
      </c>
      <c r="AE44" s="26">
        <f t="shared" si="17"/>
        <v>-7482.59087710945</v>
      </c>
      <c r="AF44" s="26">
        <f t="shared" si="17"/>
        <v>-7307.51049802046</v>
      </c>
      <c r="AG44" s="26">
        <f t="shared" si="17"/>
        <v>-7110.62886561466</v>
      </c>
      <c r="AH44" s="26">
        <f t="shared" si="17"/>
        <v>-6891.52933563354</v>
      </c>
      <c r="AI44" s="26">
        <f t="shared" si="17"/>
        <v>-6649.77800685412</v>
      </c>
      <c r="AJ44" s="26">
        <f t="shared" si="17"/>
        <v>-6384.92324613413</v>
      </c>
      <c r="AK44" s="26">
        <f t="shared" si="17"/>
        <v>-6096.49519746355</v>
      </c>
      <c r="AL44" s="26">
        <f t="shared" si="17"/>
        <v>-5784.00527454008</v>
      </c>
      <c r="AM44" s="26">
        <f t="shared" si="17"/>
        <v>-5446.94563636364</v>
      </c>
    </row>
    <row r="45" spans="1:39">
      <c r="A45" s="6" t="s">
        <v>188</v>
      </c>
      <c r="B45" s="12" t="e">
        <f>产量曲线-原料降碳</f>
        <v>#NAME?</v>
      </c>
      <c r="C45" s="26">
        <f t="shared" ref="C45:AM45" si="18">C41-C44</f>
        <v>195992.552454545</v>
      </c>
      <c r="D45" s="26">
        <f t="shared" si="18"/>
        <v>189410.295845455</v>
      </c>
      <c r="E45" s="26">
        <f t="shared" si="18"/>
        <v>185920.261470408</v>
      </c>
      <c r="F45" s="26">
        <f t="shared" si="18"/>
        <v>182507.949600242</v>
      </c>
      <c r="G45" s="26">
        <f t="shared" si="18"/>
        <v>179170.46335525</v>
      </c>
      <c r="H45" s="26">
        <f t="shared" si="18"/>
        <v>175904.823795417</v>
      </c>
      <c r="I45" s="26">
        <f t="shared" si="18"/>
        <v>172707.949090909</v>
      </c>
      <c r="J45" s="26">
        <f t="shared" si="18"/>
        <v>171486.759152006</v>
      </c>
      <c r="K45" s="26">
        <f t="shared" si="18"/>
        <v>170272.322057069</v>
      </c>
      <c r="L45" s="26">
        <f t="shared" si="18"/>
        <v>169064.169015152</v>
      </c>
      <c r="M45" s="26">
        <f t="shared" si="18"/>
        <v>167861.799363042</v>
      </c>
      <c r="N45" s="26">
        <f t="shared" si="18"/>
        <v>166664.677636364</v>
      </c>
      <c r="O45" s="26">
        <f t="shared" si="18"/>
        <v>163434.938207115</v>
      </c>
      <c r="P45" s="26">
        <f t="shared" si="18"/>
        <v>160261.474213342</v>
      </c>
      <c r="Q45" s="26">
        <f t="shared" si="18"/>
        <v>157142.391941527</v>
      </c>
      <c r="R45" s="26">
        <f t="shared" si="18"/>
        <v>154075.819150796</v>
      </c>
      <c r="S45" s="26">
        <f t="shared" si="18"/>
        <v>151059.903816859</v>
      </c>
      <c r="T45" s="26">
        <f t="shared" si="18"/>
        <v>148784.397532978</v>
      </c>
      <c r="U45" s="26">
        <f t="shared" si="18"/>
        <v>146516.460933065</v>
      </c>
      <c r="V45" s="26">
        <f t="shared" si="18"/>
        <v>144254.728320388</v>
      </c>
      <c r="W45" s="26">
        <f t="shared" si="18"/>
        <v>141997.799946234</v>
      </c>
      <c r="X45" s="26">
        <f t="shared" si="18"/>
        <v>139744.240051367</v>
      </c>
      <c r="Y45" s="26">
        <f t="shared" si="18"/>
        <v>137492.574825131</v>
      </c>
      <c r="Z45" s="26">
        <f t="shared" si="18"/>
        <v>135241.29027829</v>
      </c>
      <c r="AA45" s="26">
        <f t="shared" si="18"/>
        <v>132988.830025541</v>
      </c>
      <c r="AB45" s="26">
        <f t="shared" si="18"/>
        <v>130733.59297341</v>
      </c>
      <c r="AC45" s="26">
        <f t="shared" si="18"/>
        <v>128473.930909091</v>
      </c>
      <c r="AD45" s="26">
        <f t="shared" si="18"/>
        <v>126420.695382764</v>
      </c>
      <c r="AE45" s="26">
        <f t="shared" si="18"/>
        <v>124377.000795847</v>
      </c>
      <c r="AF45" s="26">
        <f t="shared" si="18"/>
        <v>122341.977423451</v>
      </c>
      <c r="AG45" s="26">
        <f t="shared" si="18"/>
        <v>120314.746924104</v>
      </c>
      <c r="AH45" s="26">
        <f t="shared" si="18"/>
        <v>118294.421772276</v>
      </c>
      <c r="AI45" s="26">
        <f t="shared" si="18"/>
        <v>116280.104677814</v>
      </c>
      <c r="AJ45" s="26">
        <f t="shared" si="18"/>
        <v>114270.887991769</v>
      </c>
      <c r="AK45" s="26">
        <f t="shared" si="18"/>
        <v>112265.853098133</v>
      </c>
      <c r="AL45" s="26">
        <f t="shared" si="18"/>
        <v>110264.069790962</v>
      </c>
      <c r="AM45" s="26">
        <f t="shared" si="18"/>
        <v>108264.595636364</v>
      </c>
    </row>
    <row r="46" spans="1:39">
      <c r="A46" s="20" t="s">
        <v>189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</row>
    <row r="47" spans="1:39">
      <c r="A47" s="6" t="s">
        <v>190</v>
      </c>
      <c r="B47" s="12"/>
      <c r="C47" s="26">
        <f t="shared" ref="C47:AM47" si="19">(C25-11055.99)*1.26</f>
        <v>0</v>
      </c>
      <c r="D47" s="26">
        <f t="shared" si="19"/>
        <v>-613.720799999998</v>
      </c>
      <c r="E47" s="26">
        <f t="shared" si="19"/>
        <v>-936.123591412368</v>
      </c>
      <c r="F47" s="26">
        <f t="shared" si="19"/>
        <v>-1250.72095266988</v>
      </c>
      <c r="G47" s="26">
        <f t="shared" si="19"/>
        <v>-1557.7018546547</v>
      </c>
      <c r="H47" s="26">
        <f t="shared" si="19"/>
        <v>-1857.2506932296</v>
      </c>
      <c r="I47" s="26">
        <f t="shared" si="19"/>
        <v>-2149.5474</v>
      </c>
      <c r="J47" s="26">
        <f t="shared" si="19"/>
        <v>-2134.77229964006</v>
      </c>
      <c r="K47" s="26">
        <f t="shared" si="19"/>
        <v>-2121.13645452598</v>
      </c>
      <c r="L47" s="26">
        <f t="shared" si="19"/>
        <v>-2108.62124231942</v>
      </c>
      <c r="M47" s="26">
        <f t="shared" si="19"/>
        <v>-2097.20827776886</v>
      </c>
      <c r="N47" s="26">
        <f t="shared" si="19"/>
        <v>-2086.87941</v>
      </c>
      <c r="O47" s="26">
        <f t="shared" si="19"/>
        <v>-1667.56395014257</v>
      </c>
      <c r="P47" s="26">
        <f t="shared" si="19"/>
        <v>-1233.40296649775</v>
      </c>
      <c r="Q47" s="26">
        <f t="shared" si="19"/>
        <v>-783.870865335723</v>
      </c>
      <c r="R47" s="26">
        <f t="shared" si="19"/>
        <v>-318.42344470692</v>
      </c>
      <c r="S47" s="26">
        <f t="shared" si="19"/>
        <v>163.502764366929</v>
      </c>
      <c r="T47" s="26">
        <f t="shared" si="19"/>
        <v>767.905343290701</v>
      </c>
      <c r="U47" s="26">
        <f t="shared" si="19"/>
        <v>1398.22683644772</v>
      </c>
      <c r="V47" s="26">
        <f t="shared" si="19"/>
        <v>2055.57873829294</v>
      </c>
      <c r="W47" s="26">
        <f t="shared" si="19"/>
        <v>2741.12020808357</v>
      </c>
      <c r="X47" s="26">
        <f t="shared" si="19"/>
        <v>3456.06011391425</v>
      </c>
      <c r="Y47" s="26">
        <f t="shared" si="19"/>
        <v>4201.65916440663</v>
      </c>
      <c r="Z47" s="26">
        <f t="shared" si="19"/>
        <v>4979.23213181473</v>
      </c>
      <c r="AA47" s="26">
        <f t="shared" si="19"/>
        <v>5790.15017046372</v>
      </c>
      <c r="AB47" s="26">
        <f t="shared" si="19"/>
        <v>6635.84323461195</v>
      </c>
      <c r="AC47" s="26">
        <f t="shared" si="19"/>
        <v>7517.8026</v>
      </c>
      <c r="AD47" s="26">
        <f t="shared" si="19"/>
        <v>8192.25435220606</v>
      </c>
      <c r="AE47" s="26">
        <f t="shared" si="19"/>
        <v>8887.91450347578</v>
      </c>
      <c r="AF47" s="26">
        <f t="shared" si="19"/>
        <v>9605.44996021002</v>
      </c>
      <c r="AG47" s="26">
        <f t="shared" si="19"/>
        <v>10345.5485999428</v>
      </c>
      <c r="AH47" s="26">
        <f t="shared" si="19"/>
        <v>11108.9199307857</v>
      </c>
      <c r="AI47" s="26">
        <f t="shared" si="19"/>
        <v>11896.2957716106</v>
      </c>
      <c r="AJ47" s="26">
        <f t="shared" si="19"/>
        <v>12708.4309536195</v>
      </c>
      <c r="AK47" s="26">
        <f t="shared" si="19"/>
        <v>13546.1040439775</v>
      </c>
      <c r="AL47" s="26">
        <f t="shared" si="19"/>
        <v>14410.1180921978</v>
      </c>
      <c r="AM47" s="26">
        <f t="shared" si="19"/>
        <v>15301.3014</v>
      </c>
    </row>
    <row r="48" spans="1:39">
      <c r="A48" s="6" t="s">
        <v>191</v>
      </c>
      <c r="B48" s="12" t="e">
        <f>原料曲线-短流程降碳</f>
        <v>#NAME?</v>
      </c>
      <c r="C48" s="26">
        <f t="shared" ref="C48:AM48" si="20">C45-C47</f>
        <v>195992.552454545</v>
      </c>
      <c r="D48" s="26">
        <f t="shared" si="20"/>
        <v>190024.016645455</v>
      </c>
      <c r="E48" s="26">
        <f t="shared" si="20"/>
        <v>186856.38506182</v>
      </c>
      <c r="F48" s="26">
        <f t="shared" si="20"/>
        <v>183758.670552912</v>
      </c>
      <c r="G48" s="26">
        <f t="shared" si="20"/>
        <v>180728.165209905</v>
      </c>
      <c r="H48" s="26">
        <f t="shared" si="20"/>
        <v>177762.074488647</v>
      </c>
      <c r="I48" s="26">
        <f t="shared" si="20"/>
        <v>174857.496490909</v>
      </c>
      <c r="J48" s="26">
        <f t="shared" si="20"/>
        <v>173621.531451646</v>
      </c>
      <c r="K48" s="26">
        <f t="shared" si="20"/>
        <v>172393.458511595</v>
      </c>
      <c r="L48" s="26">
        <f t="shared" si="20"/>
        <v>171172.790257472</v>
      </c>
      <c r="M48" s="26">
        <f t="shared" si="20"/>
        <v>169959.00764081</v>
      </c>
      <c r="N48" s="26">
        <f t="shared" si="20"/>
        <v>168751.557046364</v>
      </c>
      <c r="O48" s="26">
        <f t="shared" si="20"/>
        <v>165102.502157258</v>
      </c>
      <c r="P48" s="26">
        <f t="shared" si="20"/>
        <v>161494.87717984</v>
      </c>
      <c r="Q48" s="26">
        <f t="shared" si="20"/>
        <v>157926.262806863</v>
      </c>
      <c r="R48" s="26">
        <f t="shared" si="20"/>
        <v>154394.242595503</v>
      </c>
      <c r="S48" s="26">
        <f t="shared" si="20"/>
        <v>150896.401052492</v>
      </c>
      <c r="T48" s="26">
        <f t="shared" si="20"/>
        <v>148016.492189687</v>
      </c>
      <c r="U48" s="26">
        <f t="shared" si="20"/>
        <v>145118.234096617</v>
      </c>
      <c r="V48" s="26">
        <f t="shared" si="20"/>
        <v>142199.149582095</v>
      </c>
      <c r="W48" s="26">
        <f t="shared" si="20"/>
        <v>139256.67973815</v>
      </c>
      <c r="X48" s="26">
        <f t="shared" si="20"/>
        <v>136288.179937453</v>
      </c>
      <c r="Y48" s="26">
        <f t="shared" si="20"/>
        <v>133290.915660725</v>
      </c>
      <c r="Z48" s="26">
        <f t="shared" si="20"/>
        <v>130262.058146475</v>
      </c>
      <c r="AA48" s="26">
        <f t="shared" si="20"/>
        <v>127198.679855077</v>
      </c>
      <c r="AB48" s="26">
        <f t="shared" si="20"/>
        <v>124097.749738798</v>
      </c>
      <c r="AC48" s="26">
        <f t="shared" si="20"/>
        <v>120956.128309091</v>
      </c>
      <c r="AD48" s="26">
        <f t="shared" si="20"/>
        <v>118228.441030557</v>
      </c>
      <c r="AE48" s="26">
        <f t="shared" si="20"/>
        <v>115489.086292372</v>
      </c>
      <c r="AF48" s="26">
        <f t="shared" si="20"/>
        <v>112736.527463241</v>
      </c>
      <c r="AG48" s="26">
        <f t="shared" si="20"/>
        <v>109969.198324161</v>
      </c>
      <c r="AH48" s="26">
        <f t="shared" si="20"/>
        <v>107185.50184149</v>
      </c>
      <c r="AI48" s="26">
        <f t="shared" si="20"/>
        <v>104383.808906204</v>
      </c>
      <c r="AJ48" s="26">
        <f t="shared" si="20"/>
        <v>101562.45703815</v>
      </c>
      <c r="AK48" s="26">
        <f t="shared" si="20"/>
        <v>98719.7490541551</v>
      </c>
      <c r="AL48" s="26">
        <f t="shared" si="20"/>
        <v>95853.9516987643</v>
      </c>
      <c r="AM48" s="26">
        <f t="shared" si="20"/>
        <v>92963.2942363636</v>
      </c>
    </row>
    <row r="49" spans="1:39">
      <c r="A49" s="20" t="s">
        <v>192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>
      <c r="A50" s="6" t="s">
        <v>193</v>
      </c>
      <c r="B50" s="12"/>
      <c r="C50" s="26">
        <f t="shared" ref="C50:AM50" si="21">((C27-952.52)/1.65)*1.26</f>
        <v>0.00289647272716552</v>
      </c>
      <c r="D50" s="26">
        <f t="shared" si="21"/>
        <v>37.4911859890911</v>
      </c>
      <c r="E50" s="26">
        <f t="shared" si="21"/>
        <v>152.156702098155</v>
      </c>
      <c r="F50" s="26">
        <f t="shared" si="21"/>
        <v>284.012301424127</v>
      </c>
      <c r="G50" s="26">
        <f t="shared" si="21"/>
        <v>435.635035647702</v>
      </c>
      <c r="H50" s="26">
        <f t="shared" si="21"/>
        <v>609.988295205508</v>
      </c>
      <c r="I50" s="26">
        <f t="shared" si="21"/>
        <v>810.479727272727</v>
      </c>
      <c r="J50" s="26">
        <f t="shared" si="21"/>
        <v>947.422687843729</v>
      </c>
      <c r="K50" s="26">
        <f t="shared" si="21"/>
        <v>1096.56012065459</v>
      </c>
      <c r="L50" s="26">
        <f t="shared" si="21"/>
        <v>1258.97791688648</v>
      </c>
      <c r="M50" s="26">
        <f t="shared" si="21"/>
        <v>1435.85866396409</v>
      </c>
      <c r="N50" s="26">
        <f t="shared" si="21"/>
        <v>1628.49025614545</v>
      </c>
      <c r="O50" s="26">
        <f t="shared" si="21"/>
        <v>1629.70409391281</v>
      </c>
      <c r="P50" s="26">
        <f t="shared" si="21"/>
        <v>1630.9185570978</v>
      </c>
      <c r="Q50" s="26">
        <f t="shared" si="21"/>
        <v>1632.13364602266</v>
      </c>
      <c r="R50" s="26">
        <f t="shared" si="21"/>
        <v>1633.34936100981</v>
      </c>
      <c r="S50" s="26">
        <f t="shared" si="21"/>
        <v>1634.56570238182</v>
      </c>
      <c r="T50" s="26">
        <f t="shared" si="21"/>
        <v>1764.29842801643</v>
      </c>
      <c r="U50" s="26">
        <f t="shared" si="21"/>
        <v>1901.15688387301</v>
      </c>
      <c r="V50" s="26">
        <f t="shared" si="21"/>
        <v>2045.53245948684</v>
      </c>
      <c r="W50" s="26">
        <f t="shared" si="21"/>
        <v>2197.83804194691</v>
      </c>
      <c r="X50" s="26">
        <f t="shared" si="21"/>
        <v>2358.50919667568</v>
      </c>
      <c r="Y50" s="26">
        <f t="shared" si="21"/>
        <v>2528.00541306447</v>
      </c>
      <c r="Z50" s="26">
        <f t="shared" si="21"/>
        <v>2706.8114185271</v>
      </c>
      <c r="AA50" s="26">
        <f t="shared" si="21"/>
        <v>2895.43856472936</v>
      </c>
      <c r="AB50" s="26">
        <f t="shared" si="21"/>
        <v>3094.42628995901</v>
      </c>
      <c r="AC50" s="26">
        <f t="shared" si="21"/>
        <v>3304.34366181818</v>
      </c>
      <c r="AD50" s="26">
        <f t="shared" si="21"/>
        <v>3355.9912902472</v>
      </c>
      <c r="AE50" s="26">
        <f t="shared" si="21"/>
        <v>3408.3005409668</v>
      </c>
      <c r="AF50" s="26">
        <f t="shared" si="21"/>
        <v>3461.27988956567</v>
      </c>
      <c r="AG50" s="26">
        <f t="shared" si="21"/>
        <v>3514.93792020744</v>
      </c>
      <c r="AH50" s="26">
        <f t="shared" si="21"/>
        <v>3569.28332702158</v>
      </c>
      <c r="AI50" s="26">
        <f t="shared" si="21"/>
        <v>3624.32491551203</v>
      </c>
      <c r="AJ50" s="26">
        <f t="shared" si="21"/>
        <v>3680.07160398409</v>
      </c>
      <c r="AK50" s="26">
        <f t="shared" si="21"/>
        <v>3736.53242498926</v>
      </c>
      <c r="AL50" s="26">
        <f t="shared" si="21"/>
        <v>3793.71652678889</v>
      </c>
      <c r="AM50" s="26">
        <f t="shared" si="21"/>
        <v>3851.63317483636</v>
      </c>
    </row>
    <row r="51" spans="1:39">
      <c r="A51" s="6" t="s">
        <v>194</v>
      </c>
      <c r="B51" s="12" t="e">
        <f>短流程曲线-氢冶金降碳</f>
        <v>#NAME?</v>
      </c>
      <c r="C51" s="26">
        <f t="shared" ref="C51:AM51" si="22">C48-C50</f>
        <v>195992.549558073</v>
      </c>
      <c r="D51" s="26">
        <f t="shared" si="22"/>
        <v>189986.525459465</v>
      </c>
      <c r="E51" s="26">
        <f t="shared" si="22"/>
        <v>186704.228359722</v>
      </c>
      <c r="F51" s="26">
        <f t="shared" si="22"/>
        <v>183474.658251488</v>
      </c>
      <c r="G51" s="26">
        <f t="shared" si="22"/>
        <v>180292.530174257</v>
      </c>
      <c r="H51" s="26">
        <f t="shared" si="22"/>
        <v>177152.086193442</v>
      </c>
      <c r="I51" s="26">
        <f t="shared" si="22"/>
        <v>174047.016763636</v>
      </c>
      <c r="J51" s="26">
        <f t="shared" si="22"/>
        <v>172674.108763802</v>
      </c>
      <c r="K51" s="26">
        <f t="shared" si="22"/>
        <v>171296.89839094</v>
      </c>
      <c r="L51" s="26">
        <f t="shared" si="22"/>
        <v>169913.812340585</v>
      </c>
      <c r="M51" s="26">
        <f t="shared" si="22"/>
        <v>168523.148976846</v>
      </c>
      <c r="N51" s="26">
        <f t="shared" si="22"/>
        <v>167123.066790218</v>
      </c>
      <c r="O51" s="26">
        <f t="shared" si="22"/>
        <v>163472.798063345</v>
      </c>
      <c r="P51" s="26">
        <f t="shared" si="22"/>
        <v>159863.958622742</v>
      </c>
      <c r="Q51" s="26">
        <f t="shared" si="22"/>
        <v>156294.12916084</v>
      </c>
      <c r="R51" s="26">
        <f t="shared" si="22"/>
        <v>152760.893234493</v>
      </c>
      <c r="S51" s="26">
        <f t="shared" si="22"/>
        <v>149261.835350111</v>
      </c>
      <c r="T51" s="26">
        <f t="shared" si="22"/>
        <v>146252.19376167</v>
      </c>
      <c r="U51" s="26">
        <f t="shared" si="22"/>
        <v>143217.077212744</v>
      </c>
      <c r="V51" s="26">
        <f t="shared" si="22"/>
        <v>140153.617122608</v>
      </c>
      <c r="W51" s="26">
        <f t="shared" si="22"/>
        <v>137058.841696203</v>
      </c>
      <c r="X51" s="26">
        <f t="shared" si="22"/>
        <v>133929.670740778</v>
      </c>
      <c r="Y51" s="26">
        <f t="shared" si="22"/>
        <v>130762.91024766</v>
      </c>
      <c r="Z51" s="26">
        <f t="shared" si="22"/>
        <v>127555.246727948</v>
      </c>
      <c r="AA51" s="26">
        <f t="shared" si="22"/>
        <v>124303.241290348</v>
      </c>
      <c r="AB51" s="26">
        <f t="shared" si="22"/>
        <v>121003.323448839</v>
      </c>
      <c r="AC51" s="26">
        <f t="shared" si="22"/>
        <v>117651.784647273</v>
      </c>
      <c r="AD51" s="26">
        <f t="shared" si="22"/>
        <v>114872.44974031</v>
      </c>
      <c r="AE51" s="26">
        <f t="shared" si="22"/>
        <v>112080.785751405</v>
      </c>
      <c r="AF51" s="26">
        <f t="shared" si="22"/>
        <v>109275.247573676</v>
      </c>
      <c r="AG51" s="26">
        <f t="shared" si="22"/>
        <v>106454.260403953</v>
      </c>
      <c r="AH51" s="26">
        <f t="shared" si="22"/>
        <v>103616.218514468</v>
      </c>
      <c r="AI51" s="26">
        <f t="shared" si="22"/>
        <v>100759.483990692</v>
      </c>
      <c r="AJ51" s="26">
        <f t="shared" si="22"/>
        <v>97882.3854341655</v>
      </c>
      <c r="AK51" s="26">
        <f t="shared" si="22"/>
        <v>94983.2166291658</v>
      </c>
      <c r="AL51" s="26">
        <f t="shared" si="22"/>
        <v>92060.2351719754</v>
      </c>
      <c r="AM51" s="26">
        <f t="shared" si="22"/>
        <v>89111.6610615273</v>
      </c>
    </row>
    <row r="52" spans="1:39">
      <c r="A52" s="20" t="s">
        <v>195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</row>
    <row r="53" spans="1:39">
      <c r="A53" s="6" t="s">
        <v>196</v>
      </c>
      <c r="B53" s="12" t="e">
        <f>绿电量×0.5306/1000</f>
        <v>#NAME?</v>
      </c>
      <c r="C53" s="26">
        <f t="shared" ref="C53:AM53" si="23">C33*0.5306/1000</f>
        <v>0</v>
      </c>
      <c r="D53" s="26">
        <f t="shared" si="23"/>
        <v>1173.9552737115</v>
      </c>
      <c r="E53" s="26">
        <f t="shared" si="23"/>
        <v>1690.9080095783</v>
      </c>
      <c r="F53" s="26">
        <f t="shared" si="23"/>
        <v>2435.59402266906</v>
      </c>
      <c r="G53" s="26">
        <f t="shared" si="23"/>
        <v>3508.40109757779</v>
      </c>
      <c r="H53" s="26">
        <f t="shared" si="23"/>
        <v>5054.01409905453</v>
      </c>
      <c r="I53" s="26">
        <f t="shared" si="23"/>
        <v>7280.9926875</v>
      </c>
      <c r="J53" s="26">
        <f t="shared" si="23"/>
        <v>7904.64888303532</v>
      </c>
      <c r="K53" s="26">
        <f t="shared" si="23"/>
        <v>8581.94828077714</v>
      </c>
      <c r="L53" s="26">
        <f t="shared" si="23"/>
        <v>9317.54781630155</v>
      </c>
      <c r="M53" s="26">
        <f t="shared" si="23"/>
        <v>10116.5168838329</v>
      </c>
      <c r="N53" s="26">
        <f t="shared" si="23"/>
        <v>10984.375411625</v>
      </c>
      <c r="O53" s="26">
        <f t="shared" si="23"/>
        <v>11280.9838072872</v>
      </c>
      <c r="P53" s="26">
        <f t="shared" si="23"/>
        <v>11586.5350502903</v>
      </c>
      <c r="Q53" s="26">
        <f t="shared" si="23"/>
        <v>11901.3742838287</v>
      </c>
      <c r="R53" s="26">
        <f t="shared" si="23"/>
        <v>12225.8654786767</v>
      </c>
      <c r="S53" s="26">
        <f t="shared" si="23"/>
        <v>12560.3927758414</v>
      </c>
      <c r="T53" s="26">
        <f t="shared" si="23"/>
        <v>12632.268748492</v>
      </c>
      <c r="U53" s="26">
        <f t="shared" si="23"/>
        <v>12706.1611919788</v>
      </c>
      <c r="V53" s="26">
        <f t="shared" si="23"/>
        <v>12782.1927897022</v>
      </c>
      <c r="W53" s="26">
        <f t="shared" si="23"/>
        <v>12860.4942830422</v>
      </c>
      <c r="X53" s="26">
        <f t="shared" si="23"/>
        <v>12941.2050058697</v>
      </c>
      <c r="Y53" s="26">
        <f t="shared" si="23"/>
        <v>13024.4734547461</v>
      </c>
      <c r="Z53" s="26">
        <f t="shared" si="23"/>
        <v>13110.4578972108</v>
      </c>
      <c r="AA53" s="26">
        <f t="shared" si="23"/>
        <v>13199.3270207187</v>
      </c>
      <c r="AB53" s="26">
        <f t="shared" si="23"/>
        <v>13291.2606249625</v>
      </c>
      <c r="AC53" s="26">
        <f t="shared" si="23"/>
        <v>13386.4503605</v>
      </c>
      <c r="AD53" s="26">
        <f t="shared" si="23"/>
        <v>13357.8652235617</v>
      </c>
      <c r="AE53" s="26">
        <f t="shared" si="23"/>
        <v>13330.9448808235</v>
      </c>
      <c r="AF53" s="26">
        <f t="shared" si="23"/>
        <v>13305.7450372795</v>
      </c>
      <c r="AG53" s="26">
        <f t="shared" si="23"/>
        <v>13282.3238299048</v>
      </c>
      <c r="AH53" s="26">
        <f t="shared" si="23"/>
        <v>13260.7419310341</v>
      </c>
      <c r="AI53" s="26">
        <f t="shared" si="23"/>
        <v>13241.0626561669</v>
      </c>
      <c r="AJ53" s="26">
        <f t="shared" si="23"/>
        <v>13223.3520763871</v>
      </c>
      <c r="AK53" s="26">
        <f t="shared" si="23"/>
        <v>13207.6791355969</v>
      </c>
      <c r="AL53" s="26">
        <f t="shared" si="23"/>
        <v>13194.11577277</v>
      </c>
      <c r="AM53" s="26">
        <f t="shared" si="23"/>
        <v>13182.73704944</v>
      </c>
    </row>
    <row r="54" spans="1:39">
      <c r="A54" s="6" t="s">
        <v>197</v>
      </c>
      <c r="B54" s="12" t="e">
        <f>氢冶金曲线-绿电降碳</f>
        <v>#NAME?</v>
      </c>
      <c r="C54" s="26">
        <f t="shared" ref="C54:AM54" si="24">C51-C53</f>
        <v>195992.549558073</v>
      </c>
      <c r="D54" s="26">
        <f t="shared" si="24"/>
        <v>188812.570185754</v>
      </c>
      <c r="E54" s="26">
        <f t="shared" si="24"/>
        <v>185013.320350144</v>
      </c>
      <c r="F54" s="26">
        <f t="shared" si="24"/>
        <v>181039.064228819</v>
      </c>
      <c r="G54" s="26">
        <f t="shared" si="24"/>
        <v>176784.12907668</v>
      </c>
      <c r="H54" s="26">
        <f t="shared" si="24"/>
        <v>172098.072094387</v>
      </c>
      <c r="I54" s="26">
        <f t="shared" si="24"/>
        <v>166766.024076136</v>
      </c>
      <c r="J54" s="26">
        <f t="shared" si="24"/>
        <v>164769.459880767</v>
      </c>
      <c r="K54" s="26">
        <f t="shared" si="24"/>
        <v>162714.950110163</v>
      </c>
      <c r="L54" s="26">
        <f t="shared" si="24"/>
        <v>160596.264524284</v>
      </c>
      <c r="M54" s="26">
        <f t="shared" si="24"/>
        <v>158406.632093013</v>
      </c>
      <c r="N54" s="26">
        <f t="shared" si="24"/>
        <v>156138.691378593</v>
      </c>
      <c r="O54" s="26">
        <f t="shared" si="24"/>
        <v>152191.814256058</v>
      </c>
      <c r="P54" s="26">
        <f t="shared" si="24"/>
        <v>148277.423572452</v>
      </c>
      <c r="Q54" s="26">
        <f t="shared" si="24"/>
        <v>144392.754877012</v>
      </c>
      <c r="R54" s="26">
        <f t="shared" si="24"/>
        <v>140535.027755816</v>
      </c>
      <c r="S54" s="26">
        <f t="shared" si="24"/>
        <v>136701.442574269</v>
      </c>
      <c r="T54" s="26">
        <f t="shared" si="24"/>
        <v>133619.925013179</v>
      </c>
      <c r="U54" s="26">
        <f t="shared" si="24"/>
        <v>130510.916020765</v>
      </c>
      <c r="V54" s="26">
        <f t="shared" si="24"/>
        <v>127371.424332906</v>
      </c>
      <c r="W54" s="26">
        <f t="shared" si="24"/>
        <v>124198.347413161</v>
      </c>
      <c r="X54" s="26">
        <f t="shared" si="24"/>
        <v>120988.465734908</v>
      </c>
      <c r="Y54" s="26">
        <f t="shared" si="24"/>
        <v>117738.436792914</v>
      </c>
      <c r="Z54" s="26">
        <f t="shared" si="24"/>
        <v>114444.788830737</v>
      </c>
      <c r="AA54" s="26">
        <f t="shared" si="24"/>
        <v>111103.914269629</v>
      </c>
      <c r="AB54" s="26">
        <f t="shared" si="24"/>
        <v>107712.062823877</v>
      </c>
      <c r="AC54" s="26">
        <f t="shared" si="24"/>
        <v>104265.334286773</v>
      </c>
      <c r="AD54" s="26">
        <f t="shared" si="24"/>
        <v>101514.584516749</v>
      </c>
      <c r="AE54" s="26">
        <f t="shared" si="24"/>
        <v>98749.8408705814</v>
      </c>
      <c r="AF54" s="26">
        <f t="shared" si="24"/>
        <v>95969.5025363963</v>
      </c>
      <c r="AG54" s="26">
        <f t="shared" si="24"/>
        <v>93171.9365740487</v>
      </c>
      <c r="AH54" s="26">
        <f t="shared" si="24"/>
        <v>90355.4765834342</v>
      </c>
      <c r="AI54" s="26">
        <f t="shared" si="24"/>
        <v>87518.4213345246</v>
      </c>
      <c r="AJ54" s="26">
        <f t="shared" si="24"/>
        <v>84659.0333577784</v>
      </c>
      <c r="AK54" s="26">
        <f t="shared" si="24"/>
        <v>81775.5374935689</v>
      </c>
      <c r="AL54" s="26">
        <f t="shared" si="24"/>
        <v>78866.1193992054</v>
      </c>
      <c r="AM54" s="26">
        <f t="shared" si="24"/>
        <v>75928.9240120873</v>
      </c>
    </row>
    <row r="55" spans="1:39">
      <c r="A55" s="20" t="s">
        <v>198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</row>
    <row r="56" spans="1:39">
      <c r="A56" s="6" t="s">
        <v>199</v>
      </c>
      <c r="B56" s="12" t="e">
        <f>产量×累计技术潜力</f>
        <v>#NAME?</v>
      </c>
      <c r="C56" s="26">
        <f t="shared" ref="C56:AM56" si="25">C13*C37</f>
        <v>0</v>
      </c>
      <c r="D56" s="26">
        <f t="shared" si="25"/>
        <v>5764.86</v>
      </c>
      <c r="E56" s="26">
        <f t="shared" si="25"/>
        <v>6328.45315353294</v>
      </c>
      <c r="F56" s="26">
        <f t="shared" si="25"/>
        <v>6175.24015292052</v>
      </c>
      <c r="G56" s="26">
        <f t="shared" si="25"/>
        <v>8614.5713934042</v>
      </c>
      <c r="H56" s="26">
        <f t="shared" si="25"/>
        <v>10409.5162803684</v>
      </c>
      <c r="I56" s="26">
        <f t="shared" si="25"/>
        <v>10157.5</v>
      </c>
      <c r="J56" s="26">
        <f t="shared" si="25"/>
        <v>10457.1577868835</v>
      </c>
      <c r="K56" s="26">
        <f t="shared" si="25"/>
        <v>15587.5002293626</v>
      </c>
      <c r="L56" s="26">
        <f t="shared" si="25"/>
        <v>15618.1459066291</v>
      </c>
      <c r="M56" s="26">
        <f t="shared" si="25"/>
        <v>15729.1859239336</v>
      </c>
      <c r="N56" s="26">
        <f t="shared" si="25"/>
        <v>18604.1538</v>
      </c>
      <c r="O56" s="26">
        <f t="shared" si="25"/>
        <v>20089.0891031489</v>
      </c>
      <c r="P56" s="26">
        <f t="shared" si="25"/>
        <v>20175.5224951799</v>
      </c>
      <c r="Q56" s="26">
        <f t="shared" si="25"/>
        <v>19715.9629969474</v>
      </c>
      <c r="R56" s="26">
        <f t="shared" si="25"/>
        <v>19266.8713779219</v>
      </c>
      <c r="S56" s="26">
        <f t="shared" si="25"/>
        <v>18828.0092</v>
      </c>
      <c r="T56" s="26">
        <f t="shared" si="25"/>
        <v>18532.0513699391</v>
      </c>
      <c r="U56" s="26">
        <f t="shared" si="25"/>
        <v>18240.7457065649</v>
      </c>
      <c r="V56" s="26">
        <f t="shared" si="25"/>
        <v>18853.1032429015</v>
      </c>
      <c r="W56" s="26">
        <f t="shared" si="25"/>
        <v>18556.7509591092</v>
      </c>
      <c r="X56" s="26">
        <f t="shared" si="25"/>
        <v>18265.0570424291</v>
      </c>
      <c r="Y56" s="26">
        <f t="shared" si="25"/>
        <v>17977.948267901</v>
      </c>
      <c r="Z56" s="26">
        <f t="shared" si="25"/>
        <v>24576.1572994049</v>
      </c>
      <c r="AA56" s="26">
        <f t="shared" si="25"/>
        <v>24189.8442214632</v>
      </c>
      <c r="AB56" s="26">
        <f t="shared" si="25"/>
        <v>23809.6036060457</v>
      </c>
      <c r="AC56" s="26">
        <f t="shared" si="25"/>
        <v>23435.34</v>
      </c>
      <c r="AD56" s="26">
        <f t="shared" si="25"/>
        <v>23062.4530804368</v>
      </c>
      <c r="AE56" s="26">
        <f t="shared" si="25"/>
        <v>22695.4992796072</v>
      </c>
      <c r="AF56" s="26">
        <f t="shared" si="25"/>
        <v>22334.3841938299</v>
      </c>
      <c r="AG56" s="26">
        <f t="shared" si="25"/>
        <v>21979.0149215097</v>
      </c>
      <c r="AH56" s="26">
        <f t="shared" si="25"/>
        <v>21629.3000392372</v>
      </c>
      <c r="AI56" s="26">
        <f t="shared" si="25"/>
        <v>21285.1495782694</v>
      </c>
      <c r="AJ56" s="26">
        <f t="shared" si="25"/>
        <v>20946.4750013833</v>
      </c>
      <c r="AK56" s="26">
        <f t="shared" si="25"/>
        <v>20613.1891800992</v>
      </c>
      <c r="AL56" s="26">
        <f t="shared" si="25"/>
        <v>20285.2063722654</v>
      </c>
      <c r="AM56" s="26">
        <f t="shared" si="25"/>
        <v>19962.4422</v>
      </c>
    </row>
    <row r="57" spans="1:39">
      <c r="A57" s="6" t="s">
        <v>200</v>
      </c>
      <c r="B57" s="12" t="e">
        <f>能源曲线-技术降碳</f>
        <v>#NAME?</v>
      </c>
      <c r="C57" s="26">
        <f t="shared" ref="C57:AM57" si="26">C54-C56</f>
        <v>195992.549558073</v>
      </c>
      <c r="D57" s="26">
        <f t="shared" si="26"/>
        <v>183047.710185754</v>
      </c>
      <c r="E57" s="26">
        <f t="shared" si="26"/>
        <v>178684.867196611</v>
      </c>
      <c r="F57" s="26">
        <f t="shared" si="26"/>
        <v>174863.824075898</v>
      </c>
      <c r="G57" s="26">
        <f t="shared" si="26"/>
        <v>168169.557683275</v>
      </c>
      <c r="H57" s="26">
        <f t="shared" si="26"/>
        <v>161688.555814019</v>
      </c>
      <c r="I57" s="26">
        <f t="shared" si="26"/>
        <v>156608.524076136</v>
      </c>
      <c r="J57" s="26">
        <f t="shared" si="26"/>
        <v>154312.302093884</v>
      </c>
      <c r="K57" s="26">
        <f t="shared" si="26"/>
        <v>147127.449880801</v>
      </c>
      <c r="L57" s="26">
        <f t="shared" si="26"/>
        <v>144978.118617655</v>
      </c>
      <c r="M57" s="26">
        <f t="shared" si="26"/>
        <v>142677.44616908</v>
      </c>
      <c r="N57" s="26">
        <f t="shared" si="26"/>
        <v>137534.537578593</v>
      </c>
      <c r="O57" s="26">
        <f t="shared" si="26"/>
        <v>132102.725152909</v>
      </c>
      <c r="P57" s="26">
        <f t="shared" si="26"/>
        <v>128101.901077272</v>
      </c>
      <c r="Q57" s="26">
        <f t="shared" si="26"/>
        <v>124676.791880064</v>
      </c>
      <c r="R57" s="26">
        <f t="shared" si="26"/>
        <v>121268.156377894</v>
      </c>
      <c r="S57" s="26">
        <f t="shared" si="26"/>
        <v>117873.433374269</v>
      </c>
      <c r="T57" s="26">
        <f t="shared" si="26"/>
        <v>115087.873643239</v>
      </c>
      <c r="U57" s="26">
        <f t="shared" si="26"/>
        <v>112270.1703142</v>
      </c>
      <c r="V57" s="26">
        <f t="shared" si="26"/>
        <v>108518.321090004</v>
      </c>
      <c r="W57" s="26">
        <f t="shared" si="26"/>
        <v>105641.596454052</v>
      </c>
      <c r="X57" s="26">
        <f t="shared" si="26"/>
        <v>102723.408692479</v>
      </c>
      <c r="Y57" s="26">
        <f t="shared" si="26"/>
        <v>99760.488525013</v>
      </c>
      <c r="Z57" s="26">
        <f t="shared" si="26"/>
        <v>89868.6315313326</v>
      </c>
      <c r="AA57" s="26">
        <f t="shared" si="26"/>
        <v>86914.0700481659</v>
      </c>
      <c r="AB57" s="26">
        <f t="shared" si="26"/>
        <v>83902.4592178312</v>
      </c>
      <c r="AC57" s="26">
        <f t="shared" si="26"/>
        <v>80829.9942867727</v>
      </c>
      <c r="AD57" s="26">
        <f t="shared" si="26"/>
        <v>78452.1314363117</v>
      </c>
      <c r="AE57" s="26">
        <f t="shared" si="26"/>
        <v>76054.3415909742</v>
      </c>
      <c r="AF57" s="26">
        <f t="shared" si="26"/>
        <v>73635.1183425664</v>
      </c>
      <c r="AG57" s="26">
        <f t="shared" si="26"/>
        <v>71192.9216525389</v>
      </c>
      <c r="AH57" s="26">
        <f t="shared" si="26"/>
        <v>68726.1765441969</v>
      </c>
      <c r="AI57" s="26">
        <f t="shared" si="26"/>
        <v>66233.2717562552</v>
      </c>
      <c r="AJ57" s="26">
        <f t="shared" si="26"/>
        <v>63712.5583563951</v>
      </c>
      <c r="AK57" s="26">
        <f t="shared" si="26"/>
        <v>61162.3483134697</v>
      </c>
      <c r="AL57" s="26">
        <f t="shared" si="26"/>
        <v>58580.91302694</v>
      </c>
      <c r="AM57" s="26">
        <f t="shared" si="26"/>
        <v>55966.4818120873</v>
      </c>
    </row>
    <row r="58" spans="1:39">
      <c r="A58" s="20" t="s">
        <v>201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</row>
    <row r="59" spans="1:39">
      <c r="A59" s="6" t="s">
        <v>202</v>
      </c>
      <c r="B59" s="12" t="s">
        <v>203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0.00378812338901333</v>
      </c>
      <c r="K59" s="29">
        <v>0.00378812338901333</v>
      </c>
      <c r="L59" s="29">
        <v>0.00378812338901333</v>
      </c>
      <c r="M59" s="29">
        <v>0.00504243919515853</v>
      </c>
      <c r="N59" s="29">
        <v>0.00504243919515853</v>
      </c>
      <c r="O59" s="29">
        <v>0.00504243919515853</v>
      </c>
      <c r="P59" s="29">
        <v>0.00534392637900536</v>
      </c>
      <c r="Q59" s="29">
        <v>0.0198094137623409</v>
      </c>
      <c r="R59" s="29">
        <v>0.0334662958250784</v>
      </c>
      <c r="S59" s="29">
        <v>0.0462918881679907</v>
      </c>
      <c r="T59" s="29">
        <v>0.100094789329644</v>
      </c>
      <c r="U59" s="29">
        <v>0.15012143969246</v>
      </c>
      <c r="V59" s="29">
        <v>0.189947603344054</v>
      </c>
      <c r="W59" s="29">
        <v>0.233387062726179</v>
      </c>
      <c r="X59" s="29">
        <v>0.27366562254929</v>
      </c>
      <c r="Y59" s="29">
        <v>0.310963263535935</v>
      </c>
      <c r="Z59" s="29">
        <v>0.310963263535935</v>
      </c>
      <c r="AA59" s="29">
        <v>0.328724647572981</v>
      </c>
      <c r="AB59" s="29">
        <v>0.35936447040123</v>
      </c>
      <c r="AC59" s="29">
        <v>0.38735613968292</v>
      </c>
      <c r="AD59" s="29">
        <v>0.557235895234988</v>
      </c>
      <c r="AE59" s="29">
        <v>0.59375819692016</v>
      </c>
      <c r="AF59" s="29">
        <v>0.632330749062157</v>
      </c>
      <c r="AG59" s="29">
        <v>0.673254112698885</v>
      </c>
      <c r="AH59" s="29">
        <v>0.716874453155023</v>
      </c>
      <c r="AI59" s="29">
        <v>0.763594907431107</v>
      </c>
      <c r="AJ59" s="29">
        <v>0.813889911790394</v>
      </c>
      <c r="AK59" s="29">
        <v>0.86832357583028</v>
      </c>
      <c r="AL59" s="29">
        <v>0.927573621880375</v>
      </c>
      <c r="AM59" s="29">
        <v>0.992463060335193</v>
      </c>
    </row>
    <row r="60" spans="1:39">
      <c r="A60" s="9" t="s">
        <v>204</v>
      </c>
      <c r="B60" s="12" t="e">
        <f>工艺曲线×CCUS比例</f>
        <v>#NAME?</v>
      </c>
      <c r="C60" s="34">
        <f t="shared" ref="C60:AM60" si="27">C57*C59</f>
        <v>0</v>
      </c>
      <c r="D60" s="34">
        <f t="shared" si="27"/>
        <v>0</v>
      </c>
      <c r="E60" s="34">
        <f t="shared" si="27"/>
        <v>0</v>
      </c>
      <c r="F60" s="34">
        <f t="shared" si="27"/>
        <v>0</v>
      </c>
      <c r="G60" s="34">
        <f t="shared" si="27"/>
        <v>0</v>
      </c>
      <c r="H60" s="34">
        <f t="shared" si="27"/>
        <v>0</v>
      </c>
      <c r="I60" s="34">
        <f t="shared" si="27"/>
        <v>0</v>
      </c>
      <c r="J60" s="34">
        <f t="shared" si="27"/>
        <v>584.554040774331</v>
      </c>
      <c r="K60" s="34">
        <f t="shared" si="27"/>
        <v>557.336934059347</v>
      </c>
      <c r="L60" s="34">
        <f t="shared" si="27"/>
        <v>549.195002030686</v>
      </c>
      <c r="M60" s="34">
        <f t="shared" si="27"/>
        <v>719.442346828089</v>
      </c>
      <c r="N60" s="34">
        <f t="shared" si="27"/>
        <v>693.509542974302</v>
      </c>
      <c r="O60" s="34">
        <f t="shared" si="27"/>
        <v>666.119959098283</v>
      </c>
      <c r="P60" s="34">
        <f t="shared" si="27"/>
        <v>684.567128367567</v>
      </c>
      <c r="Q60" s="34">
        <f t="shared" si="27"/>
        <v>2469.77415691346</v>
      </c>
      <c r="R60" s="34">
        <f t="shared" si="27"/>
        <v>4058.39599550448</v>
      </c>
      <c r="S60" s="34">
        <f t="shared" si="27"/>
        <v>5456.58379573877</v>
      </c>
      <c r="T60" s="34">
        <f t="shared" si="27"/>
        <v>11519.6964667167</v>
      </c>
      <c r="U60" s="34">
        <f t="shared" si="27"/>
        <v>16854.1596020854</v>
      </c>
      <c r="V60" s="34">
        <f t="shared" si="27"/>
        <v>20612.7950099669</v>
      </c>
      <c r="W60" s="34">
        <f t="shared" si="27"/>
        <v>24655.3818981155</v>
      </c>
      <c r="X60" s="34">
        <f t="shared" si="27"/>
        <v>28111.8655902123</v>
      </c>
      <c r="Y60" s="34">
        <f t="shared" si="27"/>
        <v>31021.8470836772</v>
      </c>
      <c r="Z60" s="34">
        <f t="shared" si="27"/>
        <v>27945.8429504916</v>
      </c>
      <c r="AA60" s="34">
        <f t="shared" si="27"/>
        <v>28570.7970457167</v>
      </c>
      <c r="AB60" s="34">
        <f t="shared" si="27"/>
        <v>30151.5628221767</v>
      </c>
      <c r="AC60" s="34">
        <f t="shared" si="27"/>
        <v>31309.9945575168</v>
      </c>
      <c r="AD60" s="34">
        <f t="shared" si="27"/>
        <v>43716.3436940061</v>
      </c>
      <c r="AE60" s="34">
        <f t="shared" si="27"/>
        <v>45157.8887310068</v>
      </c>
      <c r="AF60" s="34">
        <f t="shared" si="27"/>
        <v>46561.7495388356</v>
      </c>
      <c r="AG60" s="34">
        <f t="shared" si="27"/>
        <v>47930.9272976213</v>
      </c>
      <c r="AH60" s="34">
        <f t="shared" si="27"/>
        <v>49268.0402275568</v>
      </c>
      <c r="AI60" s="34">
        <f t="shared" si="27"/>
        <v>50575.389015577</v>
      </c>
      <c r="AJ60" s="34">
        <f t="shared" si="27"/>
        <v>51855.0085006268</v>
      </c>
      <c r="AK60" s="34">
        <f t="shared" si="27"/>
        <v>53108.7089937291</v>
      </c>
      <c r="AL60" s="34">
        <f t="shared" si="27"/>
        <v>54338.109669458</v>
      </c>
      <c r="AM60" s="34">
        <f t="shared" si="27"/>
        <v>55544.665815418</v>
      </c>
    </row>
    <row r="61" spans="1:39">
      <c r="A61" s="20" t="s">
        <v>205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</row>
    <row r="62" spans="1:39">
      <c r="A62" s="9" t="s">
        <v>52</v>
      </c>
      <c r="B62" s="12" t="e">
        <f>工艺曲线-CCUS</f>
        <v>#NAME?</v>
      </c>
      <c r="C62" s="34">
        <f t="shared" ref="C62:AM62" si="28">C57-C60</f>
        <v>195992.549558073</v>
      </c>
      <c r="D62" s="34">
        <f t="shared" si="28"/>
        <v>183047.710185754</v>
      </c>
      <c r="E62" s="34">
        <f t="shared" si="28"/>
        <v>178684.867196611</v>
      </c>
      <c r="F62" s="34">
        <f t="shared" si="28"/>
        <v>174863.824075898</v>
      </c>
      <c r="G62" s="34">
        <f t="shared" si="28"/>
        <v>168169.557683275</v>
      </c>
      <c r="H62" s="34">
        <f t="shared" si="28"/>
        <v>161688.555814019</v>
      </c>
      <c r="I62" s="34">
        <f t="shared" si="28"/>
        <v>156608.524076136</v>
      </c>
      <c r="J62" s="34">
        <f t="shared" si="28"/>
        <v>153727.748053109</v>
      </c>
      <c r="K62" s="34">
        <f t="shared" si="28"/>
        <v>146570.112946741</v>
      </c>
      <c r="L62" s="34">
        <f t="shared" si="28"/>
        <v>144428.923615624</v>
      </c>
      <c r="M62" s="34">
        <f t="shared" si="28"/>
        <v>141958.003822252</v>
      </c>
      <c r="N62" s="34">
        <f t="shared" si="28"/>
        <v>136841.028035619</v>
      </c>
      <c r="O62" s="34">
        <f t="shared" si="28"/>
        <v>131436.605193811</v>
      </c>
      <c r="P62" s="34">
        <f t="shared" si="28"/>
        <v>127417.333948904</v>
      </c>
      <c r="Q62" s="34">
        <f t="shared" si="28"/>
        <v>122207.017723151</v>
      </c>
      <c r="R62" s="34">
        <f t="shared" si="28"/>
        <v>117209.76038239</v>
      </c>
      <c r="S62" s="34">
        <f t="shared" si="28"/>
        <v>112416.84957853</v>
      </c>
      <c r="T62" s="34">
        <f t="shared" si="28"/>
        <v>103568.177176523</v>
      </c>
      <c r="U62" s="34">
        <f t="shared" si="28"/>
        <v>95416.0107121148</v>
      </c>
      <c r="V62" s="34">
        <f t="shared" si="28"/>
        <v>87905.5260800376</v>
      </c>
      <c r="W62" s="34">
        <f t="shared" si="28"/>
        <v>80986.2145559365</v>
      </c>
      <c r="X62" s="34">
        <f t="shared" si="28"/>
        <v>74611.5431022664</v>
      </c>
      <c r="Y62" s="34">
        <f t="shared" si="28"/>
        <v>68738.6414413358</v>
      </c>
      <c r="Z62" s="34">
        <f t="shared" si="28"/>
        <v>61922.788580841</v>
      </c>
      <c r="AA62" s="34">
        <f t="shared" si="28"/>
        <v>58343.2730024492</v>
      </c>
      <c r="AB62" s="34">
        <f t="shared" si="28"/>
        <v>53750.8963956545</v>
      </c>
      <c r="AC62" s="34">
        <f t="shared" si="28"/>
        <v>49519.999729256</v>
      </c>
      <c r="AD62" s="34">
        <f t="shared" si="28"/>
        <v>34735.7877423056</v>
      </c>
      <c r="AE62" s="34">
        <f t="shared" si="28"/>
        <v>30896.4528599674</v>
      </c>
      <c r="AF62" s="34">
        <f t="shared" si="28"/>
        <v>27073.3688037308</v>
      </c>
      <c r="AG62" s="34">
        <f t="shared" si="28"/>
        <v>23261.9943549176</v>
      </c>
      <c r="AH62" s="34">
        <f t="shared" si="28"/>
        <v>19458.1363166402</v>
      </c>
      <c r="AI62" s="34">
        <f t="shared" si="28"/>
        <v>15657.8827406782</v>
      </c>
      <c r="AJ62" s="34">
        <f t="shared" si="28"/>
        <v>11857.5498557684</v>
      </c>
      <c r="AK62" s="34">
        <f t="shared" si="28"/>
        <v>8053.6393197406</v>
      </c>
      <c r="AL62" s="34">
        <f t="shared" si="28"/>
        <v>4242.80335748202</v>
      </c>
      <c r="AM62" s="34">
        <f t="shared" si="28"/>
        <v>421.815996669218</v>
      </c>
    </row>
    <row r="63" spans="1:39">
      <c r="A63" s="9" t="s">
        <v>56</v>
      </c>
      <c r="B63" s="12" t="e">
        <f>碳排放总量/粗钢产量</f>
        <v>#NAME?</v>
      </c>
      <c r="C63" s="35">
        <f t="shared" ref="C63:AM63" si="29">IF(C13&gt;0,C62/C13,0)</f>
        <v>1.94999999560311</v>
      </c>
      <c r="D63" s="35">
        <f t="shared" si="29"/>
        <v>1.90513951963191</v>
      </c>
      <c r="E63" s="35">
        <f t="shared" si="29"/>
        <v>1.90587308512158</v>
      </c>
      <c r="F63" s="35">
        <f t="shared" si="29"/>
        <v>1.91139256657749</v>
      </c>
      <c r="G63" s="35">
        <f t="shared" si="29"/>
        <v>1.88382701533606</v>
      </c>
      <c r="H63" s="35">
        <f t="shared" si="29"/>
        <v>1.85616525296326</v>
      </c>
      <c r="I63" s="35">
        <f t="shared" si="29"/>
        <v>1.84245322442513</v>
      </c>
      <c r="J63" s="35">
        <f t="shared" si="29"/>
        <v>1.82435934526303</v>
      </c>
      <c r="K63" s="35">
        <f t="shared" si="29"/>
        <v>1.75460995499086</v>
      </c>
      <c r="L63" s="35">
        <f t="shared" si="29"/>
        <v>1.74407994116286</v>
      </c>
      <c r="M63" s="35">
        <f t="shared" si="29"/>
        <v>1.72921559093259</v>
      </c>
      <c r="N63" s="35">
        <f t="shared" si="29"/>
        <v>1.68144487221679</v>
      </c>
      <c r="O63" s="35">
        <f t="shared" si="29"/>
        <v>1.65268252340782</v>
      </c>
      <c r="P63" s="35">
        <f t="shared" si="29"/>
        <v>1.63948863783022</v>
      </c>
      <c r="Q63" s="35">
        <f t="shared" si="29"/>
        <v>1.60909927685713</v>
      </c>
      <c r="R63" s="35">
        <f t="shared" si="29"/>
        <v>1.57927320935644</v>
      </c>
      <c r="S63" s="35">
        <f t="shared" si="29"/>
        <v>1.54999999418879</v>
      </c>
      <c r="T63" s="35">
        <f t="shared" si="29"/>
        <v>1.45079992809849</v>
      </c>
      <c r="U63" s="35">
        <f t="shared" si="29"/>
        <v>1.35794867048392</v>
      </c>
      <c r="V63" s="35">
        <f t="shared" si="29"/>
        <v>1.27103989728803</v>
      </c>
      <c r="W63" s="35">
        <f t="shared" si="29"/>
        <v>1.1896932893369</v>
      </c>
      <c r="X63" s="35">
        <f t="shared" si="29"/>
        <v>1.11355286777538</v>
      </c>
      <c r="Y63" s="35">
        <f t="shared" si="29"/>
        <v>1.0422854364513</v>
      </c>
      <c r="Z63" s="35">
        <f t="shared" si="29"/>
        <v>0.953931384434704</v>
      </c>
      <c r="AA63" s="35">
        <f t="shared" si="29"/>
        <v>0.913142017637644</v>
      </c>
      <c r="AB63" s="35">
        <f t="shared" si="29"/>
        <v>0.854700889275933</v>
      </c>
      <c r="AC63" s="35">
        <f t="shared" si="29"/>
        <v>0.799999995626106</v>
      </c>
      <c r="AD63" s="35">
        <f t="shared" si="29"/>
        <v>0.570232888642382</v>
      </c>
      <c r="AE63" s="35">
        <f t="shared" si="29"/>
        <v>0.515406024281397</v>
      </c>
      <c r="AF63" s="35">
        <f t="shared" si="29"/>
        <v>0.458932618877584</v>
      </c>
      <c r="AG63" s="35">
        <f t="shared" si="29"/>
        <v>0.400699990159836</v>
      </c>
      <c r="AH63" s="35">
        <f t="shared" si="29"/>
        <v>0.340595876709646</v>
      </c>
      <c r="AI63" s="35">
        <f t="shared" si="29"/>
        <v>0.278507528632681</v>
      </c>
      <c r="AJ63" s="35">
        <f t="shared" si="29"/>
        <v>0.214320947801357</v>
      </c>
      <c r="AK63" s="35">
        <f t="shared" si="29"/>
        <v>0.147920237854195</v>
      </c>
      <c r="AL63" s="35">
        <f t="shared" si="29"/>
        <v>0.0791870352050703</v>
      </c>
      <c r="AM63" s="35">
        <f t="shared" si="29"/>
        <v>0.00799999993682968</v>
      </c>
    </row>
    <row r="64" spans="1:39">
      <c r="A64" s="6" t="s">
        <v>206</v>
      </c>
      <c r="B64" s="12" t="e">
        <f>(当年-1.95)/1.95</f>
        <v>#NAME?</v>
      </c>
      <c r="C64" s="25">
        <f t="shared" ref="C64:AM64" si="30">(C63-1.95)/1.95</f>
        <v>-2.25481661831923e-9</v>
      </c>
      <c r="D64" s="25">
        <f t="shared" si="30"/>
        <v>-0.023005374547736</v>
      </c>
      <c r="E64" s="25">
        <f t="shared" si="30"/>
        <v>-0.0226291871171379</v>
      </c>
      <c r="F64" s="25">
        <f t="shared" si="30"/>
        <v>-0.0197986838064141</v>
      </c>
      <c r="G64" s="25">
        <f t="shared" si="30"/>
        <v>-0.0339348639302232</v>
      </c>
      <c r="H64" s="25">
        <f t="shared" si="30"/>
        <v>-0.0481203830957639</v>
      </c>
      <c r="I64" s="25">
        <f t="shared" si="30"/>
        <v>-0.0551521926024954</v>
      </c>
      <c r="J64" s="25">
        <f t="shared" si="30"/>
        <v>-0.0644311049933199</v>
      </c>
      <c r="K64" s="25">
        <f t="shared" si="30"/>
        <v>-0.100200023081612</v>
      </c>
      <c r="L64" s="25">
        <f t="shared" si="30"/>
        <v>-0.105600030172892</v>
      </c>
      <c r="M64" s="25">
        <f t="shared" si="30"/>
        <v>-0.113222773880723</v>
      </c>
      <c r="N64" s="25">
        <f t="shared" si="30"/>
        <v>-0.137720578350365</v>
      </c>
      <c r="O64" s="25">
        <f t="shared" si="30"/>
        <v>-0.152470500816503</v>
      </c>
      <c r="P64" s="25">
        <f t="shared" si="30"/>
        <v>-0.1592365959845</v>
      </c>
      <c r="Q64" s="25">
        <f t="shared" si="30"/>
        <v>-0.174820883663012</v>
      </c>
      <c r="R64" s="25">
        <f t="shared" si="30"/>
        <v>-0.190116302894134</v>
      </c>
      <c r="S64" s="25">
        <f t="shared" si="30"/>
        <v>-0.205128208108312</v>
      </c>
      <c r="T64" s="25">
        <f t="shared" si="30"/>
        <v>-0.256000036872568</v>
      </c>
      <c r="U64" s="25">
        <f t="shared" si="30"/>
        <v>-0.303616066418503</v>
      </c>
      <c r="V64" s="25">
        <f t="shared" si="30"/>
        <v>-0.348184668057418</v>
      </c>
      <c r="W64" s="25">
        <f t="shared" si="30"/>
        <v>-0.389900877263128</v>
      </c>
      <c r="X64" s="25">
        <f t="shared" si="30"/>
        <v>-0.428947247294677</v>
      </c>
      <c r="Y64" s="25">
        <f t="shared" si="30"/>
        <v>-0.465494647973692</v>
      </c>
      <c r="Z64" s="25">
        <f t="shared" si="30"/>
        <v>-0.510804418238613</v>
      </c>
      <c r="AA64" s="25">
        <f t="shared" si="30"/>
        <v>-0.531722042237106</v>
      </c>
      <c r="AB64" s="25">
        <f t="shared" si="30"/>
        <v>-0.561691851653368</v>
      </c>
      <c r="AC64" s="25">
        <f t="shared" si="30"/>
        <v>-0.589743591986612</v>
      </c>
      <c r="AD64" s="25">
        <f t="shared" si="30"/>
        <v>-0.707572877619291</v>
      </c>
      <c r="AE64" s="25">
        <f t="shared" si="30"/>
        <v>-0.735689218317232</v>
      </c>
      <c r="AF64" s="25">
        <f t="shared" si="30"/>
        <v>-0.764649939037136</v>
      </c>
      <c r="AG64" s="25">
        <f t="shared" si="30"/>
        <v>-0.794512825559059</v>
      </c>
      <c r="AH64" s="25">
        <f t="shared" si="30"/>
        <v>-0.825335447841207</v>
      </c>
      <c r="AI64" s="25">
        <f t="shared" si="30"/>
        <v>-0.857175626342215</v>
      </c>
      <c r="AJ64" s="25">
        <f t="shared" si="30"/>
        <v>-0.89009182164033</v>
      </c>
      <c r="AK64" s="25">
        <f t="shared" si="30"/>
        <v>-0.924143467767079</v>
      </c>
      <c r="AL64" s="25">
        <f t="shared" si="30"/>
        <v>-0.9593912639974</v>
      </c>
      <c r="AM64" s="25">
        <f t="shared" si="30"/>
        <v>-0.995897435929831</v>
      </c>
    </row>
    <row r="65" spans="1:39">
      <c r="A65" s="6" t="s">
        <v>207</v>
      </c>
      <c r="B65" s="12" t="e">
        <f>碳排放/(全国排放×10000)</f>
        <v>#NAME?</v>
      </c>
      <c r="C65" s="25">
        <f t="shared" ref="C65:AM65" si="31">C62/(C9*10000)</f>
        <v>0.184030562965326</v>
      </c>
      <c r="D65" s="25">
        <f t="shared" si="31"/>
        <v>0.169488620542365</v>
      </c>
      <c r="E65" s="25">
        <f t="shared" si="31"/>
        <v>0.162440788360555</v>
      </c>
      <c r="F65" s="25">
        <f t="shared" si="31"/>
        <v>0.15612841435348</v>
      </c>
      <c r="G65" s="25">
        <f t="shared" si="31"/>
        <v>0.146234397985457</v>
      </c>
      <c r="H65" s="25">
        <f t="shared" si="31"/>
        <v>0.138195346849589</v>
      </c>
      <c r="I65" s="25">
        <f t="shared" si="31"/>
        <v>0.132719088200116</v>
      </c>
      <c r="J65" s="25">
        <f t="shared" si="31"/>
        <v>0.13139123765223</v>
      </c>
      <c r="K65" s="25">
        <f t="shared" si="31"/>
        <v>0.126900530689819</v>
      </c>
      <c r="L65" s="25">
        <f t="shared" si="31"/>
        <v>0.127250152965307</v>
      </c>
      <c r="M65" s="25">
        <f t="shared" si="31"/>
        <v>0.12789009353356</v>
      </c>
      <c r="N65" s="25">
        <f t="shared" si="31"/>
        <v>0.125542227555614</v>
      </c>
      <c r="O65" s="25">
        <f t="shared" si="31"/>
        <v>0.123414652764141</v>
      </c>
      <c r="P65" s="25">
        <f t="shared" si="31"/>
        <v>0.123108535216332</v>
      </c>
      <c r="Q65" s="25">
        <f t="shared" si="31"/>
        <v>0.122207017723151</v>
      </c>
      <c r="R65" s="25">
        <f t="shared" si="31"/>
        <v>0.122093500398323</v>
      </c>
      <c r="S65" s="25">
        <f t="shared" si="31"/>
        <v>0.12219222780275</v>
      </c>
      <c r="T65" s="25">
        <f t="shared" si="31"/>
        <v>0.118363631058883</v>
      </c>
      <c r="U65" s="25">
        <f t="shared" si="31"/>
        <v>0.114959049050741</v>
      </c>
      <c r="V65" s="25">
        <f t="shared" si="31"/>
        <v>0.111981561885398</v>
      </c>
      <c r="W65" s="25">
        <f t="shared" si="31"/>
        <v>0.109440830480995</v>
      </c>
      <c r="X65" s="25">
        <f t="shared" si="31"/>
        <v>0.107354738276642</v>
      </c>
      <c r="Y65" s="25">
        <f t="shared" si="31"/>
        <v>0.105751756063593</v>
      </c>
      <c r="Z65" s="25">
        <f t="shared" si="31"/>
        <v>0.102351716662547</v>
      </c>
      <c r="AA65" s="25">
        <f t="shared" si="31"/>
        <v>0.104184416075802</v>
      </c>
      <c r="AB65" s="25">
        <f t="shared" si="31"/>
        <v>0.104370672612921</v>
      </c>
      <c r="AC65" s="25">
        <f t="shared" si="31"/>
        <v>0.105361701551608</v>
      </c>
      <c r="AD65" s="25">
        <f t="shared" si="31"/>
        <v>0.0807809017262922</v>
      </c>
      <c r="AE65" s="25">
        <f t="shared" si="31"/>
        <v>0.0792216739999165</v>
      </c>
      <c r="AF65" s="25">
        <f t="shared" si="31"/>
        <v>0.0762630107147347</v>
      </c>
      <c r="AG65" s="25">
        <f t="shared" si="31"/>
        <v>0.0726937323591175</v>
      </c>
      <c r="AH65" s="25">
        <f t="shared" si="31"/>
        <v>0.0670970217815179</v>
      </c>
      <c r="AI65" s="25">
        <f t="shared" si="31"/>
        <v>0.0590863499648232</v>
      </c>
      <c r="AJ65" s="25">
        <f t="shared" si="31"/>
        <v>0.0483981626766056</v>
      </c>
      <c r="AK65" s="25">
        <f t="shared" si="31"/>
        <v>0.035015823129307</v>
      </c>
      <c r="AL65" s="25">
        <f t="shared" si="31"/>
        <v>0.0192854698067365</v>
      </c>
      <c r="AM65" s="25">
        <f t="shared" si="31"/>
        <v>0.00200864760318675</v>
      </c>
    </row>
  </sheetData>
  <mergeCells count="20">
    <mergeCell ref="A1:J1"/>
    <mergeCell ref="A2:J2"/>
    <mergeCell ref="AP4:AQ4"/>
    <mergeCell ref="A5:AM5"/>
    <mergeCell ref="AP11:AQ11"/>
    <mergeCell ref="A12:AM12"/>
    <mergeCell ref="A14:AM14"/>
    <mergeCell ref="A21:AM21"/>
    <mergeCell ref="AP25:AQ25"/>
    <mergeCell ref="A30:AM30"/>
    <mergeCell ref="A34:AM34"/>
    <mergeCell ref="A39:AM39"/>
    <mergeCell ref="A40:AM40"/>
    <mergeCell ref="A43:AM43"/>
    <mergeCell ref="A46:AM46"/>
    <mergeCell ref="A49:AM49"/>
    <mergeCell ref="A52:AM52"/>
    <mergeCell ref="A55:AM55"/>
    <mergeCell ref="A58:AM58"/>
    <mergeCell ref="A61:AM61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9"/>
  <sheetViews>
    <sheetView workbookViewId="0">
      <selection activeCell="C3" sqref="C3"/>
    </sheetView>
  </sheetViews>
  <sheetFormatPr defaultColWidth="9" defaultRowHeight="16.8"/>
  <cols>
    <col min="1" max="1" width="14.9038461538462" customWidth="1"/>
    <col min="2" max="9" width="16" customWidth="1"/>
    <col min="10" max="10" width="18.4326923076923" customWidth="1"/>
    <col min="11" max="11" width="28.6826923076923" customWidth="1"/>
  </cols>
  <sheetData>
    <row r="1" ht="20.4" spans="1:9">
      <c r="A1" s="1" t="s">
        <v>210</v>
      </c>
      <c r="B1" s="2"/>
      <c r="C1" s="2"/>
      <c r="D1" s="2"/>
      <c r="E1" s="2"/>
      <c r="F1" s="2"/>
      <c r="G1" s="2"/>
      <c r="H1" s="2"/>
      <c r="I1" s="11"/>
    </row>
    <row r="2" ht="66" customHeight="1" spans="1:11">
      <c r="A2" s="16" t="s">
        <v>211</v>
      </c>
      <c r="B2" s="16" t="s">
        <v>212</v>
      </c>
      <c r="C2" s="16" t="s">
        <v>213</v>
      </c>
      <c r="D2" s="16" t="s">
        <v>214</v>
      </c>
      <c r="E2" s="16" t="s">
        <v>215</v>
      </c>
      <c r="F2" s="16" t="s">
        <v>216</v>
      </c>
      <c r="G2" s="16" t="s">
        <v>217</v>
      </c>
      <c r="H2" s="16" t="s">
        <v>218</v>
      </c>
      <c r="I2" s="16" t="s">
        <v>219</v>
      </c>
      <c r="J2" s="16" t="s">
        <v>220</v>
      </c>
      <c r="K2" s="16" t="s">
        <v>221</v>
      </c>
    </row>
    <row r="3" ht="20.4" spans="1:11">
      <c r="A3" s="17">
        <v>2024</v>
      </c>
      <c r="B3" s="17">
        <v>1.95</v>
      </c>
      <c r="C3" s="18">
        <v>0</v>
      </c>
      <c r="D3" s="17">
        <v>1.95</v>
      </c>
      <c r="E3" s="18">
        <v>0</v>
      </c>
      <c r="F3" s="17">
        <v>1.95</v>
      </c>
      <c r="G3" s="18">
        <v>0</v>
      </c>
      <c r="H3" s="17">
        <v>0</v>
      </c>
      <c r="I3" s="17">
        <v>0</v>
      </c>
      <c r="J3" s="19">
        <v>195993</v>
      </c>
      <c r="K3" s="19">
        <v>195993</v>
      </c>
    </row>
    <row r="4" ht="20.4" spans="1:11">
      <c r="A4" s="17">
        <v>2025</v>
      </c>
      <c r="B4" s="17">
        <v>1.958</v>
      </c>
      <c r="C4" s="18">
        <v>-0.004</v>
      </c>
      <c r="D4" s="17">
        <v>1.954</v>
      </c>
      <c r="E4" s="18">
        <v>-0.002</v>
      </c>
      <c r="F4" s="17">
        <v>1.947</v>
      </c>
      <c r="G4" s="18">
        <v>0.0015</v>
      </c>
      <c r="H4" s="17">
        <v>0.2</v>
      </c>
      <c r="I4" s="17">
        <v>0.35</v>
      </c>
      <c r="J4" s="19">
        <v>187742</v>
      </c>
      <c r="K4" s="19">
        <v>187070</v>
      </c>
    </row>
    <row r="5" ht="20.4" spans="1:11">
      <c r="A5" s="17">
        <v>2026</v>
      </c>
      <c r="B5" s="17">
        <v>1.941</v>
      </c>
      <c r="C5" s="18">
        <v>0.0046</v>
      </c>
      <c r="D5" s="17">
        <v>1.923</v>
      </c>
      <c r="E5" s="18">
        <v>0.0138</v>
      </c>
      <c r="F5" s="17">
        <v>1.905</v>
      </c>
      <c r="G5" s="18">
        <v>0.0231</v>
      </c>
      <c r="H5" s="17">
        <v>0.92</v>
      </c>
      <c r="I5" s="17">
        <v>0.93</v>
      </c>
      <c r="J5" s="19">
        <v>180762</v>
      </c>
      <c r="K5" s="19">
        <v>179070</v>
      </c>
    </row>
    <row r="6" ht="20.4" spans="1:11">
      <c r="A6" s="17">
        <v>2027</v>
      </c>
      <c r="B6" s="17">
        <v>1.924</v>
      </c>
      <c r="C6" s="18">
        <v>0.0133</v>
      </c>
      <c r="D6" s="17">
        <v>1.891</v>
      </c>
      <c r="E6" s="18">
        <v>0.0303</v>
      </c>
      <c r="F6" s="17">
        <v>1.853</v>
      </c>
      <c r="G6" s="18">
        <v>0.0497</v>
      </c>
      <c r="H6" s="17">
        <v>1.7</v>
      </c>
      <c r="I6" s="17">
        <v>1.94</v>
      </c>
      <c r="J6" s="19">
        <v>174918</v>
      </c>
      <c r="K6" s="19">
        <v>171403</v>
      </c>
    </row>
    <row r="7" ht="20.4" spans="1:11">
      <c r="A7" s="17">
        <v>2028</v>
      </c>
      <c r="B7" s="17">
        <v>1.907</v>
      </c>
      <c r="C7" s="18">
        <v>0.0221</v>
      </c>
      <c r="D7" s="17">
        <v>1.86</v>
      </c>
      <c r="E7" s="18">
        <v>0.0462</v>
      </c>
      <c r="F7" s="17">
        <v>1.812</v>
      </c>
      <c r="G7" s="18">
        <v>0.0708</v>
      </c>
      <c r="H7" s="17">
        <v>2.41</v>
      </c>
      <c r="I7" s="17">
        <v>2.46</v>
      </c>
      <c r="J7" s="19">
        <v>169260</v>
      </c>
      <c r="K7" s="19">
        <v>164892</v>
      </c>
    </row>
    <row r="8" ht="20.4" spans="1:11">
      <c r="A8" s="17">
        <v>2029</v>
      </c>
      <c r="B8" s="17">
        <v>1.891</v>
      </c>
      <c r="C8" s="18">
        <v>0.0303</v>
      </c>
      <c r="D8" s="17">
        <v>1.829</v>
      </c>
      <c r="E8" s="18">
        <v>0.0621</v>
      </c>
      <c r="F8" s="17">
        <v>1.78</v>
      </c>
      <c r="G8" s="18">
        <v>0.0972</v>
      </c>
      <c r="H8" s="17">
        <v>3.18</v>
      </c>
      <c r="I8" s="17">
        <v>2.51</v>
      </c>
      <c r="J8" s="19">
        <v>160952</v>
      </c>
      <c r="K8" s="19">
        <v>156640</v>
      </c>
    </row>
    <row r="9" ht="20.4" spans="1:11">
      <c r="A9" s="17">
        <v>2030</v>
      </c>
      <c r="B9" s="17">
        <v>1.874</v>
      </c>
      <c r="C9" s="18">
        <v>0.039</v>
      </c>
      <c r="D9" s="17">
        <v>1.798</v>
      </c>
      <c r="E9" s="18">
        <v>0.0779</v>
      </c>
      <c r="F9" s="17">
        <v>1.744</v>
      </c>
      <c r="G9" s="18">
        <v>0.1206</v>
      </c>
      <c r="H9" s="17">
        <v>3.89</v>
      </c>
      <c r="I9" s="17">
        <v>2.77</v>
      </c>
      <c r="J9" s="19">
        <v>152830</v>
      </c>
      <c r="K9" s="19">
        <v>148240</v>
      </c>
    </row>
    <row r="10" ht="20.4" spans="1:11">
      <c r="A10" s="17">
        <v>2031</v>
      </c>
      <c r="B10" s="17">
        <v>1.849</v>
      </c>
      <c r="C10" s="18">
        <v>0.0518</v>
      </c>
      <c r="D10" s="17">
        <v>1.76</v>
      </c>
      <c r="E10" s="18">
        <v>0.0974</v>
      </c>
      <c r="F10" s="17">
        <v>1.669</v>
      </c>
      <c r="G10" s="18">
        <v>0.1441</v>
      </c>
      <c r="H10" s="17">
        <v>4.56</v>
      </c>
      <c r="I10" s="17">
        <v>4.67</v>
      </c>
      <c r="J10" s="19">
        <v>148252</v>
      </c>
      <c r="K10" s="19">
        <v>140582</v>
      </c>
    </row>
    <row r="11" ht="20.4" spans="1:11">
      <c r="A11" s="17">
        <v>2032</v>
      </c>
      <c r="B11" s="17">
        <v>1.825</v>
      </c>
      <c r="C11" s="18">
        <v>0.0641</v>
      </c>
      <c r="D11" s="17">
        <v>1.722</v>
      </c>
      <c r="E11" s="18">
        <v>0.1169</v>
      </c>
      <c r="F11" s="17">
        <v>1.594</v>
      </c>
      <c r="G11" s="18">
        <v>0.1726</v>
      </c>
      <c r="H11" s="17">
        <v>5.28</v>
      </c>
      <c r="I11" s="17">
        <v>6.57</v>
      </c>
      <c r="J11" s="19">
        <v>143878</v>
      </c>
      <c r="K11" s="19">
        <v>133185</v>
      </c>
    </row>
    <row r="12" ht="20.4" spans="1:11">
      <c r="A12" s="17">
        <v>2033</v>
      </c>
      <c r="B12" s="17">
        <v>1.8</v>
      </c>
      <c r="C12" s="18">
        <v>0.0769</v>
      </c>
      <c r="D12" s="17">
        <v>1.684</v>
      </c>
      <c r="E12" s="18">
        <v>0.1364</v>
      </c>
      <c r="F12" s="17">
        <v>1.52</v>
      </c>
      <c r="G12" s="18">
        <v>0.2005</v>
      </c>
      <c r="H12" s="17">
        <v>5.95</v>
      </c>
      <c r="I12" s="17">
        <v>8.41</v>
      </c>
      <c r="J12" s="19">
        <v>139521</v>
      </c>
      <c r="K12" s="19">
        <v>125910</v>
      </c>
    </row>
    <row r="13" ht="20.4" spans="1:11">
      <c r="A13" s="17">
        <v>2034</v>
      </c>
      <c r="B13" s="17">
        <v>1.776</v>
      </c>
      <c r="C13" s="18">
        <v>0.0892</v>
      </c>
      <c r="D13" s="17">
        <v>1.646</v>
      </c>
      <c r="E13" s="18">
        <v>0.1559</v>
      </c>
      <c r="F13" s="17">
        <v>1.445</v>
      </c>
      <c r="G13" s="18">
        <v>0.229</v>
      </c>
      <c r="H13" s="17">
        <v>6.67</v>
      </c>
      <c r="I13" s="17">
        <v>10.31</v>
      </c>
      <c r="J13" s="19">
        <v>135221</v>
      </c>
      <c r="K13" s="19">
        <v>118720</v>
      </c>
    </row>
    <row r="14" ht="20.4" spans="1:11">
      <c r="A14" s="17">
        <v>2035</v>
      </c>
      <c r="B14" s="17">
        <v>1.751</v>
      </c>
      <c r="C14" s="18">
        <v>0.102</v>
      </c>
      <c r="D14" s="17">
        <v>1.607</v>
      </c>
      <c r="E14" s="18">
        <v>0.1759</v>
      </c>
      <c r="F14" s="17">
        <v>1.37</v>
      </c>
      <c r="G14" s="18">
        <v>0.2574</v>
      </c>
      <c r="H14" s="17">
        <v>7.39</v>
      </c>
      <c r="I14" s="17">
        <v>12.15</v>
      </c>
      <c r="J14" s="19">
        <v>134988</v>
      </c>
      <c r="K14" s="19">
        <v>115080</v>
      </c>
    </row>
    <row r="15" ht="20.4" spans="1:11">
      <c r="A15" s="17">
        <v>2036</v>
      </c>
      <c r="B15" s="17">
        <v>1.691</v>
      </c>
      <c r="C15" s="18">
        <v>0.1328</v>
      </c>
      <c r="D15" s="17">
        <v>1.516</v>
      </c>
      <c r="E15" s="18">
        <v>0.2226</v>
      </c>
      <c r="F15" s="17">
        <v>1.266</v>
      </c>
      <c r="G15" s="18">
        <v>0.3008</v>
      </c>
      <c r="H15" s="17">
        <v>8.98</v>
      </c>
      <c r="I15" s="17">
        <v>12.82</v>
      </c>
      <c r="J15" s="19">
        <v>124312</v>
      </c>
      <c r="K15" s="19">
        <v>103812</v>
      </c>
    </row>
    <row r="16" ht="20.4" spans="1:11">
      <c r="A16" s="17">
        <v>2037</v>
      </c>
      <c r="B16" s="17">
        <v>1.631</v>
      </c>
      <c r="C16" s="18">
        <v>0.1636</v>
      </c>
      <c r="D16" s="17">
        <v>1.424</v>
      </c>
      <c r="E16" s="18">
        <v>0.27</v>
      </c>
      <c r="F16" s="17">
        <v>1.162</v>
      </c>
      <c r="G16" s="18">
        <v>0.3541</v>
      </c>
      <c r="H16" s="17">
        <v>10.64</v>
      </c>
      <c r="I16" s="17">
        <v>13.41</v>
      </c>
      <c r="J16" s="19">
        <v>114347</v>
      </c>
      <c r="K16" s="19">
        <v>93308</v>
      </c>
    </row>
    <row r="17" ht="20.4" spans="1:11">
      <c r="A17" s="17">
        <v>2038</v>
      </c>
      <c r="B17" s="17">
        <v>1.571</v>
      </c>
      <c r="C17" s="18">
        <v>0.1944</v>
      </c>
      <c r="D17" s="17">
        <v>1.333</v>
      </c>
      <c r="E17" s="18">
        <v>0.3164</v>
      </c>
      <c r="F17" s="17">
        <v>1.058</v>
      </c>
      <c r="G17" s="18">
        <v>0.4074</v>
      </c>
      <c r="H17" s="17">
        <v>12.2</v>
      </c>
      <c r="I17" s="17">
        <v>14.1</v>
      </c>
      <c r="J17" s="19">
        <v>104774</v>
      </c>
      <c r="K17" s="19">
        <v>83159</v>
      </c>
    </row>
    <row r="18" ht="20.4" spans="1:11">
      <c r="A18" s="17">
        <v>2039</v>
      </c>
      <c r="B18" s="17">
        <v>1.51</v>
      </c>
      <c r="C18" s="18">
        <v>0.2256</v>
      </c>
      <c r="D18" s="17">
        <v>1.241</v>
      </c>
      <c r="E18" s="18">
        <v>0.3636</v>
      </c>
      <c r="F18" s="17">
        <v>0.954</v>
      </c>
      <c r="G18" s="18">
        <v>0.5108</v>
      </c>
      <c r="H18" s="17">
        <v>13.8</v>
      </c>
      <c r="I18" s="17">
        <v>14.72</v>
      </c>
      <c r="J18" s="19">
        <v>95557</v>
      </c>
      <c r="K18" s="19">
        <v>73458</v>
      </c>
    </row>
    <row r="19" ht="20.4" spans="1:11">
      <c r="A19" s="17">
        <v>2040</v>
      </c>
      <c r="B19" s="17">
        <v>1.45</v>
      </c>
      <c r="C19" s="18">
        <v>0.2564</v>
      </c>
      <c r="D19" s="17">
        <v>1.15</v>
      </c>
      <c r="E19" s="18">
        <v>0.4103</v>
      </c>
      <c r="F19" s="17">
        <v>0.85</v>
      </c>
      <c r="G19" s="18">
        <v>0.5641</v>
      </c>
      <c r="H19" s="17">
        <v>15.39</v>
      </c>
      <c r="I19" s="17">
        <v>15.38</v>
      </c>
      <c r="J19" s="19">
        <v>83406</v>
      </c>
      <c r="K19" s="19">
        <v>61648</v>
      </c>
    </row>
    <row r="20" ht="20.4" spans="1:11">
      <c r="A20" s="17">
        <v>2041</v>
      </c>
      <c r="B20" s="17">
        <v>1.38</v>
      </c>
      <c r="C20" s="18">
        <v>0.2923</v>
      </c>
      <c r="D20" s="17">
        <v>1.075</v>
      </c>
      <c r="E20" s="18">
        <v>0.4487</v>
      </c>
      <c r="F20" s="17">
        <v>0.782</v>
      </c>
      <c r="G20" s="18">
        <v>0.599</v>
      </c>
      <c r="H20" s="17">
        <v>15.64</v>
      </c>
      <c r="I20" s="17">
        <v>15.03</v>
      </c>
      <c r="J20" s="19">
        <v>76824</v>
      </c>
      <c r="K20" s="19">
        <v>55885</v>
      </c>
    </row>
    <row r="21" ht="20.4" spans="1:11">
      <c r="A21" s="17">
        <v>2042</v>
      </c>
      <c r="B21" s="17">
        <v>1.31</v>
      </c>
      <c r="C21" s="18">
        <v>0.3282</v>
      </c>
      <c r="D21" s="17">
        <v>1</v>
      </c>
      <c r="E21" s="18">
        <v>0.4872</v>
      </c>
      <c r="F21" s="17">
        <v>0.714</v>
      </c>
      <c r="G21" s="18">
        <v>0.6338</v>
      </c>
      <c r="H21" s="17">
        <v>15.9</v>
      </c>
      <c r="I21" s="17">
        <v>14.66</v>
      </c>
      <c r="J21" s="19">
        <v>70402</v>
      </c>
      <c r="K21" s="19">
        <v>50266</v>
      </c>
    </row>
    <row r="22" ht="20.4" spans="1:11">
      <c r="A22" s="17">
        <v>2043</v>
      </c>
      <c r="B22" s="17">
        <v>1.24</v>
      </c>
      <c r="C22" s="18">
        <v>0.3641</v>
      </c>
      <c r="D22" s="17">
        <v>0.925</v>
      </c>
      <c r="E22" s="18">
        <v>0.5256</v>
      </c>
      <c r="F22" s="17">
        <v>0.646</v>
      </c>
      <c r="G22" s="18">
        <v>0.6687</v>
      </c>
      <c r="H22" s="17">
        <v>16.15</v>
      </c>
      <c r="I22" s="17">
        <v>14.31</v>
      </c>
      <c r="J22" s="19">
        <v>64139</v>
      </c>
      <c r="K22" s="19">
        <v>44794</v>
      </c>
    </row>
    <row r="23" ht="20.4" spans="1:11">
      <c r="A23" s="17">
        <v>2044</v>
      </c>
      <c r="B23" s="17">
        <v>1.17</v>
      </c>
      <c r="C23" s="18">
        <v>0.4</v>
      </c>
      <c r="D23" s="17">
        <v>0.85</v>
      </c>
      <c r="E23" s="18">
        <v>0.5641</v>
      </c>
      <c r="F23" s="17">
        <v>0.578</v>
      </c>
      <c r="G23" s="18">
        <v>0.7036</v>
      </c>
      <c r="H23" s="17">
        <v>16.41</v>
      </c>
      <c r="I23" s="17">
        <v>13.95</v>
      </c>
      <c r="J23" s="19">
        <v>58035</v>
      </c>
      <c r="K23" s="19">
        <v>39463</v>
      </c>
    </row>
    <row r="24" ht="20.4" spans="1:11">
      <c r="A24" s="17">
        <v>2045</v>
      </c>
      <c r="B24" s="17">
        <v>1.1</v>
      </c>
      <c r="C24" s="18">
        <v>0.4359</v>
      </c>
      <c r="D24" s="17">
        <v>0.775</v>
      </c>
      <c r="E24" s="18">
        <v>0.6026</v>
      </c>
      <c r="F24" s="17">
        <v>0.51</v>
      </c>
      <c r="G24" s="18">
        <v>0.7385</v>
      </c>
      <c r="H24" s="17">
        <v>16.67</v>
      </c>
      <c r="I24" s="17">
        <v>13.59</v>
      </c>
      <c r="J24" s="19">
        <v>52066</v>
      </c>
      <c r="K24" s="19">
        <v>34263</v>
      </c>
    </row>
    <row r="25" ht="20.4" spans="1:11">
      <c r="A25" s="17">
        <v>2046</v>
      </c>
      <c r="B25" s="17">
        <v>1.03</v>
      </c>
      <c r="C25" s="18">
        <v>0.4718</v>
      </c>
      <c r="D25" s="17">
        <v>0.7</v>
      </c>
      <c r="E25" s="18">
        <v>0.641</v>
      </c>
      <c r="F25" s="17">
        <v>0.442</v>
      </c>
      <c r="G25" s="18">
        <v>0.7733</v>
      </c>
      <c r="H25" s="17">
        <v>16.92</v>
      </c>
      <c r="I25" s="17">
        <v>13.23</v>
      </c>
      <c r="J25" s="19">
        <v>46236</v>
      </c>
      <c r="K25" s="19">
        <v>29195</v>
      </c>
    </row>
    <row r="26" ht="20.4" spans="1:11">
      <c r="A26" s="17">
        <v>2047</v>
      </c>
      <c r="B26" s="17">
        <v>0.96</v>
      </c>
      <c r="C26" s="18">
        <v>0.5077</v>
      </c>
      <c r="D26" s="17">
        <v>0.625</v>
      </c>
      <c r="E26" s="18">
        <v>0.6795</v>
      </c>
      <c r="F26" s="17">
        <v>0.374</v>
      </c>
      <c r="G26" s="18">
        <v>0.8082</v>
      </c>
      <c r="H26" s="17">
        <v>17.18</v>
      </c>
      <c r="I26" s="17">
        <v>12.87</v>
      </c>
      <c r="J26" s="19">
        <v>40680</v>
      </c>
      <c r="K26" s="19">
        <v>24343</v>
      </c>
    </row>
    <row r="27" ht="20.4" spans="1:11">
      <c r="A27" s="17">
        <v>2048</v>
      </c>
      <c r="B27" s="17">
        <v>0.89</v>
      </c>
      <c r="C27" s="18">
        <v>0.5436</v>
      </c>
      <c r="D27" s="17">
        <v>0.55</v>
      </c>
      <c r="E27" s="18">
        <v>0.7179</v>
      </c>
      <c r="F27" s="17">
        <v>0.306</v>
      </c>
      <c r="G27" s="18">
        <v>0.8431</v>
      </c>
      <c r="H27" s="17">
        <v>17.43</v>
      </c>
      <c r="I27" s="17">
        <v>12.52</v>
      </c>
      <c r="J27" s="19">
        <v>35214</v>
      </c>
      <c r="K27" s="19">
        <v>19573</v>
      </c>
    </row>
    <row r="28" ht="20.4" spans="1:11">
      <c r="A28" s="17">
        <v>2049</v>
      </c>
      <c r="B28" s="17">
        <v>0.82</v>
      </c>
      <c r="C28" s="18">
        <v>0.5795</v>
      </c>
      <c r="D28" s="17">
        <v>0.475</v>
      </c>
      <c r="E28" s="18">
        <v>0.7564</v>
      </c>
      <c r="F28" s="17">
        <v>0.238</v>
      </c>
      <c r="G28" s="18">
        <v>0.8779</v>
      </c>
      <c r="H28" s="17">
        <v>17.69</v>
      </c>
      <c r="I28" s="17">
        <v>12.15</v>
      </c>
      <c r="J28" s="19">
        <v>29907</v>
      </c>
      <c r="K28" s="19">
        <v>14992</v>
      </c>
    </row>
    <row r="29" ht="20.4" spans="1:11">
      <c r="A29" s="17">
        <v>2050</v>
      </c>
      <c r="B29" s="17">
        <v>0.75</v>
      </c>
      <c r="C29" s="18">
        <v>0.6154</v>
      </c>
      <c r="D29" s="17">
        <v>0.4</v>
      </c>
      <c r="E29" s="18">
        <v>0.7949</v>
      </c>
      <c r="F29" s="17">
        <v>0.17</v>
      </c>
      <c r="G29" s="18">
        <v>0.9128</v>
      </c>
      <c r="H29" s="17">
        <v>17.95</v>
      </c>
      <c r="I29" s="17">
        <v>11.79</v>
      </c>
      <c r="J29" s="19">
        <v>24760</v>
      </c>
      <c r="K29" s="19">
        <v>10523</v>
      </c>
    </row>
    <row r="30" ht="20.4" spans="1:11">
      <c r="A30" s="17">
        <v>2051</v>
      </c>
      <c r="B30" s="17">
        <v>0.687</v>
      </c>
      <c r="C30" s="18">
        <v>0.6477</v>
      </c>
      <c r="D30" s="17">
        <v>0.365</v>
      </c>
      <c r="E30" s="18">
        <v>0.8128</v>
      </c>
      <c r="F30" s="17">
        <v>0.154</v>
      </c>
      <c r="G30" s="18">
        <v>0.921</v>
      </c>
      <c r="H30" s="17">
        <v>16.51</v>
      </c>
      <c r="I30" s="17">
        <v>10.82</v>
      </c>
      <c r="J30" s="19">
        <v>22231</v>
      </c>
      <c r="K30" s="19">
        <v>9380</v>
      </c>
    </row>
    <row r="31" ht="20.4" spans="1:11">
      <c r="A31" s="17">
        <v>2052</v>
      </c>
      <c r="B31" s="17">
        <v>0.624</v>
      </c>
      <c r="C31" s="18">
        <v>0.68</v>
      </c>
      <c r="D31" s="17">
        <v>0.33</v>
      </c>
      <c r="E31" s="18">
        <v>0.8308</v>
      </c>
      <c r="F31" s="17">
        <v>0.138</v>
      </c>
      <c r="G31" s="18">
        <v>0.9292</v>
      </c>
      <c r="H31" s="17">
        <v>15.08</v>
      </c>
      <c r="I31" s="17">
        <v>9.84</v>
      </c>
      <c r="J31" s="19">
        <v>19777</v>
      </c>
      <c r="K31" s="19">
        <v>8270</v>
      </c>
    </row>
    <row r="32" ht="20.4" spans="1:11">
      <c r="A32" s="17">
        <v>2053</v>
      </c>
      <c r="B32" s="17">
        <v>0.561</v>
      </c>
      <c r="C32" s="18">
        <v>0.7123</v>
      </c>
      <c r="D32" s="17">
        <v>0.295</v>
      </c>
      <c r="E32" s="18">
        <v>0.8487</v>
      </c>
      <c r="F32" s="17">
        <v>0.122</v>
      </c>
      <c r="G32" s="18">
        <v>0.9374</v>
      </c>
      <c r="H32" s="17">
        <v>13.64</v>
      </c>
      <c r="I32" s="17">
        <v>8.87</v>
      </c>
      <c r="J32" s="19">
        <v>17396</v>
      </c>
      <c r="K32" s="19">
        <v>7194</v>
      </c>
    </row>
    <row r="33" ht="20.4" spans="1:11">
      <c r="A33" s="17">
        <v>2054</v>
      </c>
      <c r="B33" s="17">
        <v>0.498</v>
      </c>
      <c r="C33" s="18">
        <v>0.7446</v>
      </c>
      <c r="D33" s="17">
        <v>0.26</v>
      </c>
      <c r="E33" s="18">
        <v>0.8667</v>
      </c>
      <c r="F33" s="17">
        <v>0.106</v>
      </c>
      <c r="G33" s="18">
        <v>0.9456</v>
      </c>
      <c r="H33" s="17">
        <v>12.21</v>
      </c>
      <c r="I33" s="17">
        <v>7.89</v>
      </c>
      <c r="J33" s="19">
        <v>15087</v>
      </c>
      <c r="K33" s="19">
        <v>6151</v>
      </c>
    </row>
    <row r="34" ht="20.4" spans="1:11">
      <c r="A34" s="17">
        <v>2055</v>
      </c>
      <c r="B34" s="17">
        <v>0.435</v>
      </c>
      <c r="C34" s="18">
        <v>0.7769</v>
      </c>
      <c r="D34" s="17">
        <v>0.225</v>
      </c>
      <c r="E34" s="18">
        <v>0.8846</v>
      </c>
      <c r="F34" s="17">
        <v>0.09</v>
      </c>
      <c r="G34" s="18">
        <v>0.9538</v>
      </c>
      <c r="H34" s="17">
        <v>10.77</v>
      </c>
      <c r="I34" s="17">
        <v>6.92</v>
      </c>
      <c r="J34" s="19">
        <v>12848</v>
      </c>
      <c r="K34" s="19">
        <v>5139</v>
      </c>
    </row>
    <row r="35" ht="20.4" spans="1:11">
      <c r="A35" s="17">
        <v>2056</v>
      </c>
      <c r="B35" s="17">
        <v>0.372</v>
      </c>
      <c r="C35" s="18">
        <v>0.8092</v>
      </c>
      <c r="D35" s="17">
        <v>0.19</v>
      </c>
      <c r="E35" s="18">
        <v>0.9026</v>
      </c>
      <c r="F35" s="17">
        <v>0.074</v>
      </c>
      <c r="G35" s="18">
        <v>0.9621</v>
      </c>
      <c r="H35" s="17">
        <v>9.34</v>
      </c>
      <c r="I35" s="17">
        <v>5.95</v>
      </c>
      <c r="J35" s="19">
        <v>10677</v>
      </c>
      <c r="K35" s="19">
        <v>4159</v>
      </c>
    </row>
    <row r="36" ht="20.4" spans="1:11">
      <c r="A36" s="17">
        <v>2057</v>
      </c>
      <c r="B36" s="17">
        <v>0.309</v>
      </c>
      <c r="C36" s="18">
        <v>0.8415</v>
      </c>
      <c r="D36" s="17">
        <v>0.155</v>
      </c>
      <c r="E36" s="18">
        <v>0.9205</v>
      </c>
      <c r="F36" s="17">
        <v>0.058</v>
      </c>
      <c r="G36" s="18">
        <v>0.9703</v>
      </c>
      <c r="H36" s="17">
        <v>7.9</v>
      </c>
      <c r="I36" s="17">
        <v>4.98</v>
      </c>
      <c r="J36" s="19">
        <v>8573</v>
      </c>
      <c r="K36" s="19">
        <v>3208</v>
      </c>
    </row>
    <row r="37" ht="20.4" spans="1:11">
      <c r="A37" s="17">
        <v>2058</v>
      </c>
      <c r="B37" s="17">
        <v>0.246</v>
      </c>
      <c r="C37" s="18">
        <v>0.8738</v>
      </c>
      <c r="D37" s="17">
        <v>0.12</v>
      </c>
      <c r="E37" s="18">
        <v>0.9385</v>
      </c>
      <c r="F37" s="17">
        <v>0.042</v>
      </c>
      <c r="G37" s="18">
        <v>0.9785</v>
      </c>
      <c r="H37" s="17">
        <v>6.47</v>
      </c>
      <c r="I37" s="17">
        <v>4</v>
      </c>
      <c r="J37" s="19">
        <v>6532</v>
      </c>
      <c r="K37" s="19">
        <v>2286</v>
      </c>
    </row>
    <row r="38" ht="20.4" spans="1:11">
      <c r="A38" s="17">
        <v>2059</v>
      </c>
      <c r="B38" s="17">
        <v>0.183</v>
      </c>
      <c r="C38" s="18">
        <v>0.9062</v>
      </c>
      <c r="D38" s="17">
        <v>0.085</v>
      </c>
      <c r="E38" s="18">
        <v>0.9564</v>
      </c>
      <c r="F38" s="17">
        <v>0.026</v>
      </c>
      <c r="G38" s="18">
        <v>0.9867</v>
      </c>
      <c r="H38" s="17">
        <v>5.02</v>
      </c>
      <c r="I38" s="17">
        <v>3.03</v>
      </c>
      <c r="J38" s="19">
        <v>4554</v>
      </c>
      <c r="K38" s="19">
        <v>1393</v>
      </c>
    </row>
    <row r="39" ht="20.4" spans="1:11">
      <c r="A39" s="17">
        <v>2060</v>
      </c>
      <c r="B39" s="17">
        <v>0.12</v>
      </c>
      <c r="C39" s="18">
        <v>0.9385</v>
      </c>
      <c r="D39" s="17">
        <v>0.05</v>
      </c>
      <c r="E39" s="18">
        <v>0.9744</v>
      </c>
      <c r="F39" s="17">
        <v>0.01</v>
      </c>
      <c r="G39" s="18">
        <v>0.9949</v>
      </c>
      <c r="H39" s="17">
        <v>3.59</v>
      </c>
      <c r="I39" s="17">
        <v>2.05</v>
      </c>
      <c r="J39" s="19">
        <v>2636</v>
      </c>
      <c r="K39" s="17">
        <v>527</v>
      </c>
    </row>
  </sheetData>
  <mergeCells count="1">
    <mergeCell ref="A1:I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H86"/>
  <sheetViews>
    <sheetView workbookViewId="0">
      <selection activeCell="A1" sqref="A1:H1"/>
    </sheetView>
  </sheetViews>
  <sheetFormatPr defaultColWidth="9" defaultRowHeight="16.8" outlineLevelCol="7"/>
  <cols>
    <col min="1" max="8" width="18" customWidth="1"/>
  </cols>
  <sheetData>
    <row r="1" ht="20.4" spans="1:8">
      <c r="A1" s="1" t="s">
        <v>222</v>
      </c>
      <c r="B1" s="2"/>
      <c r="C1" s="2"/>
      <c r="D1" s="2"/>
      <c r="E1" s="2"/>
      <c r="F1" s="2"/>
      <c r="G1" s="2"/>
      <c r="H1" s="11"/>
    </row>
    <row r="2" spans="1:8">
      <c r="A2" s="13" t="s">
        <v>223</v>
      </c>
      <c r="B2" s="2"/>
      <c r="C2" s="2"/>
      <c r="D2" s="2"/>
      <c r="E2" s="2"/>
      <c r="F2" s="2"/>
      <c r="G2" s="2"/>
      <c r="H2" s="11"/>
    </row>
    <row r="4" ht="17.6" spans="1:4">
      <c r="A4" s="3" t="s">
        <v>224</v>
      </c>
      <c r="B4" s="4"/>
      <c r="C4" s="4"/>
      <c r="D4" s="4"/>
    </row>
    <row r="5" ht="31" spans="1:3">
      <c r="A5" s="7" t="s">
        <v>225</v>
      </c>
      <c r="C5" s="14" t="s">
        <v>226</v>
      </c>
    </row>
    <row r="6" ht="31" spans="1:3">
      <c r="A6" s="7" t="s">
        <v>227</v>
      </c>
      <c r="C6" s="14" t="s">
        <v>226</v>
      </c>
    </row>
    <row r="7" ht="31" spans="1:3">
      <c r="A7" s="7" t="s">
        <v>228</v>
      </c>
      <c r="C7" s="14" t="s">
        <v>226</v>
      </c>
    </row>
    <row r="8" ht="31" spans="1:3">
      <c r="A8" s="7" t="s">
        <v>229</v>
      </c>
      <c r="C8" s="14" t="s">
        <v>226</v>
      </c>
    </row>
    <row r="9" ht="31" spans="1:3">
      <c r="A9" s="7" t="s">
        <v>230</v>
      </c>
      <c r="C9" s="14" t="s">
        <v>226</v>
      </c>
    </row>
    <row r="12" ht="17.6" spans="1:8">
      <c r="A12" s="3" t="s">
        <v>231</v>
      </c>
      <c r="B12" s="4"/>
      <c r="C12" s="4"/>
      <c r="D12" s="4"/>
      <c r="E12" s="4"/>
      <c r="F12" s="4"/>
      <c r="G12" s="4"/>
      <c r="H12" s="4"/>
    </row>
    <row r="13" ht="17" spans="1:8">
      <c r="A13" s="5" t="s">
        <v>211</v>
      </c>
      <c r="B13" s="5" t="s">
        <v>232</v>
      </c>
      <c r="C13" s="5" t="s">
        <v>233</v>
      </c>
      <c r="D13" s="5" t="s">
        <v>234</v>
      </c>
      <c r="E13" s="5" t="s">
        <v>235</v>
      </c>
      <c r="F13" s="5" t="s">
        <v>236</v>
      </c>
      <c r="G13" s="5" t="s">
        <v>237</v>
      </c>
      <c r="H13" s="5" t="s">
        <v>238</v>
      </c>
    </row>
    <row r="14" spans="1:8">
      <c r="A14" s="6">
        <v>2024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</row>
    <row r="16" spans="1:8">
      <c r="A16" s="6">
        <v>2025</v>
      </c>
      <c r="B16" s="15">
        <v>8634.6</v>
      </c>
      <c r="C16" s="15">
        <v>-2052.34339090908</v>
      </c>
      <c r="D16" s="15">
        <v>-613.7208</v>
      </c>
      <c r="E16" s="15">
        <v>37.4882895163635</v>
      </c>
      <c r="F16" s="15">
        <v>1173.9552737115</v>
      </c>
      <c r="G16" s="15">
        <v>5764.86</v>
      </c>
      <c r="H16" s="15">
        <v>0</v>
      </c>
    </row>
    <row r="18" spans="1:8">
      <c r="A18" s="6">
        <v>2026</v>
      </c>
      <c r="B18" s="15">
        <v>13170.5700090483</v>
      </c>
      <c r="C18" s="15">
        <v>-2822.12834184715</v>
      </c>
      <c r="D18" s="15">
        <v>-546.290877154731</v>
      </c>
      <c r="E18" s="15">
        <v>152.153805625424</v>
      </c>
      <c r="F18" s="15">
        <v>1692.00922404842</v>
      </c>
      <c r="G18" s="15">
        <v>6328.45315353294</v>
      </c>
      <c r="H18" s="15">
        <v>0</v>
      </c>
    </row>
    <row r="20" spans="1:8">
      <c r="A20" s="6">
        <v>2027</v>
      </c>
      <c r="B20" s="15">
        <v>17596.723360074</v>
      </c>
      <c r="C20" s="15">
        <v>-3573.19045606104</v>
      </c>
      <c r="D20" s="15">
        <v>-489.931365830069</v>
      </c>
      <c r="E20" s="15">
        <v>284.009404951402</v>
      </c>
      <c r="F20" s="15">
        <v>2438.76561818642</v>
      </c>
      <c r="G20" s="15">
        <v>6175.24015292052</v>
      </c>
      <c r="H20" s="15">
        <v>0</v>
      </c>
    </row>
    <row r="22" spans="1:8">
      <c r="A22" s="6">
        <v>2028</v>
      </c>
      <c r="B22" s="15">
        <v>21915.7187343194</v>
      </c>
      <c r="C22" s="15">
        <v>-4304.80595208566</v>
      </c>
      <c r="D22" s="15">
        <v>-444.145755573623</v>
      </c>
      <c r="E22" s="15">
        <v>435.632139174976</v>
      </c>
      <c r="F22" s="15">
        <v>3515.25195524358</v>
      </c>
      <c r="G22" s="15">
        <v>8614.5713934042</v>
      </c>
      <c r="H22" s="15">
        <v>0</v>
      </c>
    </row>
    <row r="24" spans="1:8">
      <c r="A24" s="6">
        <v>2029</v>
      </c>
      <c r="B24" s="15">
        <v>26130.150445871</v>
      </c>
      <c r="C24" s="15">
        <v>-5016.12029573066</v>
      </c>
      <c r="D24" s="15">
        <v>-408.455088417152</v>
      </c>
      <c r="E24" s="15">
        <v>609.985398732781</v>
      </c>
      <c r="F24" s="15">
        <v>5067.1681515741</v>
      </c>
      <c r="G24" s="15">
        <v>10409.5162803684</v>
      </c>
      <c r="H24" s="15">
        <v>0</v>
      </c>
    </row>
    <row r="26" spans="1:8">
      <c r="A26" s="6">
        <v>2030</v>
      </c>
      <c r="B26" s="15">
        <v>30242.55</v>
      </c>
      <c r="C26" s="15">
        <v>-5706.12845454545</v>
      </c>
      <c r="D26" s="15">
        <v>-382.397400000002</v>
      </c>
      <c r="E26" s="15">
        <v>810.4768308</v>
      </c>
      <c r="F26" s="15">
        <v>7304.6707125</v>
      </c>
      <c r="G26" s="15">
        <v>10157.5</v>
      </c>
      <c r="H26" s="15">
        <v>650</v>
      </c>
    </row>
    <row r="28" spans="1:8">
      <c r="A28" s="6">
        <v>2031</v>
      </c>
      <c r="B28" s="15">
        <v>31677.822486521</v>
      </c>
      <c r="C28" s="15">
        <v>-5897.95806603091</v>
      </c>
      <c r="D28" s="15">
        <v>-336.208571466374</v>
      </c>
      <c r="E28" s="15">
        <v>947.419791371005</v>
      </c>
      <c r="F28" s="15">
        <v>7931.02779141388</v>
      </c>
      <c r="G28" s="15">
        <v>10457.1577868835</v>
      </c>
      <c r="H28" s="15">
        <v>1160.49997474065</v>
      </c>
    </row>
    <row r="30" spans="1:8">
      <c r="A30" s="6">
        <v>2032</v>
      </c>
      <c r="B30" s="15">
        <v>33100.6665741849</v>
      </c>
      <c r="C30" s="15">
        <v>-6084.59137541326</v>
      </c>
      <c r="D30" s="15">
        <v>-291.835543364318</v>
      </c>
      <c r="E30" s="15">
        <v>1096.55722418186</v>
      </c>
      <c r="F30" s="15">
        <v>8611.31632790853</v>
      </c>
      <c r="G30" s="15">
        <v>15587.5002293626</v>
      </c>
      <c r="H30" s="15">
        <v>1104.93324093031</v>
      </c>
    </row>
    <row r="32" spans="1:8">
      <c r="A32" s="6">
        <v>2033</v>
      </c>
      <c r="B32" s="15">
        <v>34511.1898837394</v>
      </c>
      <c r="C32" s="15">
        <v>-6265.66058113182</v>
      </c>
      <c r="D32" s="15">
        <v>-249.250332082279</v>
      </c>
      <c r="E32" s="15">
        <v>1258.97502041375</v>
      </c>
      <c r="F32" s="15">
        <v>9350.22276233529</v>
      </c>
      <c r="G32" s="15">
        <v>15618.1459066291</v>
      </c>
      <c r="H32" s="15">
        <v>1879.3986410056</v>
      </c>
    </row>
    <row r="34" spans="1:8">
      <c r="A34" s="6">
        <v>2034</v>
      </c>
      <c r="B34" s="15">
        <v>35909.499104016</v>
      </c>
      <c r="C34" s="15">
        <v>-6440.76515635209</v>
      </c>
      <c r="D34" s="15">
        <v>-208.425302489666</v>
      </c>
      <c r="E34" s="15">
        <v>1435.85576749136</v>
      </c>
      <c r="F34" s="15">
        <v>10152.8489281592</v>
      </c>
      <c r="G34" s="15">
        <v>15729.1859239336</v>
      </c>
      <c r="H34" s="15">
        <v>2197.54653783509</v>
      </c>
    </row>
    <row r="36" spans="1:8">
      <c r="A36" s="6">
        <v>2035</v>
      </c>
      <c r="B36" s="15">
        <v>37295.7</v>
      </c>
      <c r="C36" s="15">
        <v>-6609.46892727272</v>
      </c>
      <c r="D36" s="15">
        <v>-169.333164000001</v>
      </c>
      <c r="E36" s="15">
        <v>1628.48735967273</v>
      </c>
      <c r="F36" s="15">
        <v>11024.750413138</v>
      </c>
      <c r="G36" s="15">
        <v>18604.1538</v>
      </c>
      <c r="H36" s="15">
        <v>2499.87501846199</v>
      </c>
    </row>
    <row r="38" spans="1:8">
      <c r="A38" s="6">
        <v>2036</v>
      </c>
      <c r="B38" s="15">
        <v>40910.5082298484</v>
      </c>
      <c r="C38" s="15">
        <v>-6778.60524286737</v>
      </c>
      <c r="D38" s="15">
        <v>496.047624322894</v>
      </c>
      <c r="E38" s="15">
        <v>1752.42571135477</v>
      </c>
      <c r="F38" s="15">
        <v>11331.3876756004</v>
      </c>
      <c r="G38" s="15">
        <v>20089.0891031489</v>
      </c>
      <c r="H38" s="15">
        <v>6548.16314408527</v>
      </c>
    </row>
    <row r="40" spans="1:8">
      <c r="A40" s="6">
        <v>2037</v>
      </c>
      <c r="B40" s="15">
        <v>44442.9780986104</v>
      </c>
      <c r="C40" s="15">
        <v>-6907.19333956008</v>
      </c>
      <c r="D40" s="15">
        <v>1193.60083477922</v>
      </c>
      <c r="E40" s="15">
        <v>1882.88425322577</v>
      </c>
      <c r="F40" s="15">
        <v>11648.4068773239</v>
      </c>
      <c r="G40" s="15">
        <v>20175.5224951799</v>
      </c>
      <c r="H40" s="15">
        <v>11217.0653563584</v>
      </c>
    </row>
    <row r="42" spans="1:8">
      <c r="A42" s="6">
        <v>2038</v>
      </c>
      <c r="B42" s="15">
        <v>47894.9851153795</v>
      </c>
      <c r="C42" s="15">
        <v>-6994.36903648059</v>
      </c>
      <c r="D42" s="15">
        <v>1924.88206495174</v>
      </c>
      <c r="E42" s="15">
        <v>2020.20600162833</v>
      </c>
      <c r="F42" s="15">
        <v>11976.3309605407</v>
      </c>
      <c r="G42" s="15">
        <v>19715.9629969474</v>
      </c>
      <c r="H42" s="15">
        <v>14433.7051747081</v>
      </c>
    </row>
    <row r="44" spans="1:8">
      <c r="A44" s="6">
        <v>2039</v>
      </c>
      <c r="B44" s="15">
        <v>51268.3620687686</v>
      </c>
      <c r="C44" s="15">
        <v>-7039.20068444467</v>
      </c>
      <c r="D44" s="15">
        <v>2691.52212851449</v>
      </c>
      <c r="E44" s="15">
        <v>2164.75201842332</v>
      </c>
      <c r="F44" s="15">
        <v>12315.7222410946</v>
      </c>
      <c r="G44" s="15">
        <v>19266.8713779219</v>
      </c>
      <c r="H44" s="15">
        <v>16479.4990662582</v>
      </c>
    </row>
    <row r="46" spans="1:8">
      <c r="A46" s="6">
        <v>2040</v>
      </c>
      <c r="B46" s="15">
        <v>54564.9</v>
      </c>
      <c r="C46" s="15">
        <v>-7040.68645142385</v>
      </c>
      <c r="D46" s="15">
        <v>3495.23069207333</v>
      </c>
      <c r="E46" s="15">
        <v>2316.90236033454</v>
      </c>
      <c r="F46" s="15">
        <v>12667.1860394615</v>
      </c>
      <c r="G46" s="15">
        <v>18828.0092</v>
      </c>
      <c r="H46" s="15">
        <v>18304.9132552627</v>
      </c>
    </row>
    <row r="48" spans="1:8">
      <c r="A48" s="6">
        <v>2041</v>
      </c>
      <c r="B48" s="15">
        <v>56788.0038852799</v>
      </c>
      <c r="C48" s="15">
        <v>-6719.14863600089</v>
      </c>
      <c r="D48" s="15">
        <v>4469.76318478576</v>
      </c>
      <c r="E48" s="15">
        <v>2467.10244634095</v>
      </c>
      <c r="F48" s="15">
        <v>12751.804436074</v>
      </c>
      <c r="G48" s="15">
        <v>18532.0513699391</v>
      </c>
      <c r="H48" s="15">
        <v>19971.9670459224</v>
      </c>
    </row>
    <row r="50" spans="1:8">
      <c r="A50" s="6">
        <v>2042</v>
      </c>
      <c r="B50" s="15">
        <v>58976.1627588542</v>
      </c>
      <c r="C50" s="15">
        <v>-6349.89216965258</v>
      </c>
      <c r="D50" s="15">
        <v>5498.79617522828</v>
      </c>
      <c r="E50" s="15">
        <v>2624.71316309237</v>
      </c>
      <c r="F50" s="15">
        <v>12839.7017499482</v>
      </c>
      <c r="G50" s="15">
        <v>18240.7457065648</v>
      </c>
      <c r="H50" s="15">
        <v>21517.8989812268</v>
      </c>
    </row>
    <row r="52" spans="1:8">
      <c r="A52" s="6">
        <v>2043</v>
      </c>
      <c r="B52" s="15">
        <v>61129.9259220178</v>
      </c>
      <c r="C52" s="15">
        <v>-5930.73765896222</v>
      </c>
      <c r="D52" s="15">
        <v>6585.37759076612</v>
      </c>
      <c r="E52" s="15">
        <v>2790.10013919459</v>
      </c>
      <c r="F52" s="15">
        <v>12931.1153319733</v>
      </c>
      <c r="G52" s="15">
        <v>18853.1032429015</v>
      </c>
      <c r="H52" s="15">
        <v>22967.1846193939</v>
      </c>
    </row>
    <row r="54" spans="1:8">
      <c r="A54" s="6">
        <v>2044</v>
      </c>
      <c r="B54" s="15">
        <v>63249.8340415885</v>
      </c>
      <c r="C54" s="15">
        <v>-5459.37721474553</v>
      </c>
      <c r="D54" s="15">
        <v>7732.72581337703</v>
      </c>
      <c r="E54" s="15">
        <v>2963.64704278098</v>
      </c>
      <c r="F54" s="15">
        <v>13026.3005005826</v>
      </c>
      <c r="G54" s="15">
        <v>18556.7509591092</v>
      </c>
      <c r="H54" s="15">
        <v>24336.9507381432</v>
      </c>
    </row>
    <row r="56" spans="1:8">
      <c r="A56" s="6">
        <v>2045</v>
      </c>
      <c r="B56" s="15">
        <v>65336.419285632</v>
      </c>
      <c r="C56" s="15">
        <v>-4933.36742305342</v>
      </c>
      <c r="D56" s="15">
        <v>8944.23921228493</v>
      </c>
      <c r="E56" s="15">
        <v>3145.75647155368</v>
      </c>
      <c r="F56" s="15">
        <v>13125.5319058663</v>
      </c>
      <c r="G56" s="15">
        <v>18265.0570424291</v>
      </c>
      <c r="H56" s="15">
        <v>25639.7474226916</v>
      </c>
    </row>
    <row r="58" spans="1:8">
      <c r="A58" s="6">
        <v>2046</v>
      </c>
      <c r="B58" s="15">
        <v>67390.2054570543</v>
      </c>
      <c r="C58" s="15">
        <v>-4350.12192323198</v>
      </c>
      <c r="D58" s="15">
        <v>10223.5062097038</v>
      </c>
      <c r="E58" s="15">
        <v>3336.85088673818</v>
      </c>
      <c r="F58" s="15">
        <v>13229.1049973341</v>
      </c>
      <c r="G58" s="15">
        <v>17977.948267901</v>
      </c>
      <c r="H58" s="15">
        <v>26885.1028135816</v>
      </c>
    </row>
    <row r="60" spans="1:8">
      <c r="A60" s="6">
        <v>2047</v>
      </c>
      <c r="B60" s="15">
        <v>69411.7081250936</v>
      </c>
      <c r="C60" s="15">
        <v>-3706.90357119157</v>
      </c>
      <c r="D60" s="15">
        <v>11574.3159095061</v>
      </c>
      <c r="E60" s="15">
        <v>3537.37359311755</v>
      </c>
      <c r="F60" s="15">
        <v>13337.3376032105</v>
      </c>
      <c r="G60" s="15">
        <v>24576.1572994049</v>
      </c>
      <c r="H60" s="15">
        <v>28080.4570319684</v>
      </c>
    </row>
    <row r="62" spans="1:8">
      <c r="A62" s="6">
        <v>2048</v>
      </c>
      <c r="B62" s="15">
        <v>71401.4347547456</v>
      </c>
      <c r="C62" s="15">
        <v>-3000.816164819</v>
      </c>
      <c r="D62" s="15">
        <v>13000.6693202963</v>
      </c>
      <c r="E62" s="15">
        <v>3747.78976742013</v>
      </c>
      <c r="F62" s="15">
        <v>13450.5716297423</v>
      </c>
      <c r="G62" s="15">
        <v>24189.8442214632</v>
      </c>
      <c r="H62" s="15">
        <v>29231.7541290801</v>
      </c>
    </row>
    <row r="64" spans="1:8">
      <c r="A64" s="6">
        <v>2049</v>
      </c>
      <c r="B64" s="15">
        <v>73359.8848341542</v>
      </c>
      <c r="C64" s="15">
        <v>-2228.79570718207</v>
      </c>
      <c r="D64" s="15">
        <v>14506.7912061332</v>
      </c>
      <c r="E64" s="15">
        <v>3968.58753744608</v>
      </c>
      <c r="F64" s="15">
        <v>13569.1748896434</v>
      </c>
      <c r="G64" s="15">
        <v>23809.6036060458</v>
      </c>
      <c r="H64" s="15">
        <v>30343.8338653531</v>
      </c>
    </row>
    <row r="66" spans="1:8">
      <c r="A66" s="6">
        <v>2050</v>
      </c>
      <c r="B66" s="15">
        <v>75287.55</v>
      </c>
      <c r="C66" s="15">
        <v>-1387.60118181817</v>
      </c>
      <c r="D66" s="15">
        <v>16097.1426</v>
      </c>
      <c r="E66" s="15">
        <v>4200.27911443636</v>
      </c>
      <c r="F66" s="15">
        <v>13693.5430695</v>
      </c>
      <c r="G66" s="15">
        <v>23435.34</v>
      </c>
      <c r="H66" s="15">
        <v>31420.7004130836</v>
      </c>
    </row>
    <row r="68" spans="1:8">
      <c r="A68" s="6">
        <v>2051</v>
      </c>
      <c r="B68" s="15">
        <v>77208.1244668467</v>
      </c>
      <c r="C68" s="15">
        <v>-1292.38588768019</v>
      </c>
      <c r="D68" s="15">
        <v>16692.3557581614</v>
      </c>
      <c r="E68" s="15">
        <v>4307.01898293287</v>
      </c>
      <c r="F68" s="15">
        <v>13667.521241367</v>
      </c>
      <c r="G68" s="15">
        <v>23062.4530804368</v>
      </c>
      <c r="H68" s="15">
        <v>32465.7122375329</v>
      </c>
    </row>
    <row r="70" spans="1:8">
      <c r="A70" s="6">
        <v>2052</v>
      </c>
      <c r="B70" s="15">
        <v>79098.1400812622</v>
      </c>
      <c r="C70" s="15">
        <v>-1182.25876106111</v>
      </c>
      <c r="D70" s="15">
        <v>17299.367316521</v>
      </c>
      <c r="E70" s="15">
        <v>4416.07098282632</v>
      </c>
      <c r="F70" s="15">
        <v>13642.9226245014</v>
      </c>
      <c r="G70" s="15">
        <v>22695.4992796072</v>
      </c>
      <c r="H70" s="15">
        <v>33481.7197357445</v>
      </c>
    </row>
    <row r="72" spans="1:8">
      <c r="A72" s="6">
        <v>2053</v>
      </c>
      <c r="B72" s="15">
        <v>80958.0830745686</v>
      </c>
      <c r="C72" s="15">
        <v>-1057.12895194082</v>
      </c>
      <c r="D72" s="15">
        <v>17918.411144652</v>
      </c>
      <c r="E72" s="15">
        <v>4527.48519804199</v>
      </c>
      <c r="F72" s="15">
        <v>13619.7810567205</v>
      </c>
      <c r="G72" s="15">
        <v>22334.3841938299</v>
      </c>
      <c r="H72" s="15">
        <v>34471.1672187847</v>
      </c>
    </row>
    <row r="74" spans="1:8">
      <c r="A74" s="6">
        <v>2054</v>
      </c>
      <c r="B74" s="15">
        <v>82788.4319415112</v>
      </c>
      <c r="C74" s="15">
        <v>-916.90049767238</v>
      </c>
      <c r="D74" s="15">
        <v>18549.7257479236</v>
      </c>
      <c r="E74" s="15">
        <v>4641.31279739139</v>
      </c>
      <c r="F74" s="15">
        <v>13598.1314964475</v>
      </c>
      <c r="G74" s="15">
        <v>21979.0149215097</v>
      </c>
      <c r="H74" s="15">
        <v>35436.1699321266</v>
      </c>
    </row>
    <row r="76" spans="1:8">
      <c r="A76" s="6">
        <v>2055</v>
      </c>
      <c r="B76" s="15">
        <v>84589.6575633581</v>
      </c>
      <c r="C76" s="15">
        <v>-761.472273159868</v>
      </c>
      <c r="D76" s="15">
        <v>19193.5543593925</v>
      </c>
      <c r="E76" s="15">
        <v>4757.60605807243</v>
      </c>
      <c r="F76" s="15">
        <v>13578.0100577851</v>
      </c>
      <c r="G76" s="15">
        <v>21629.3000392372</v>
      </c>
      <c r="H76" s="15">
        <v>36378.5732093574</v>
      </c>
    </row>
    <row r="78" spans="1:8">
      <c r="A78" s="6">
        <v>2056</v>
      </c>
      <c r="B78" s="15">
        <v>86362.2233290404</v>
      </c>
      <c r="C78" s="15">
        <v>-590.73793920333</v>
      </c>
      <c r="D78" s="15">
        <v>19850.1450335159</v>
      </c>
      <c r="E78" s="15">
        <v>4876.41838967852</v>
      </c>
      <c r="F78" s="15">
        <v>13559.4540466986</v>
      </c>
      <c r="G78" s="15">
        <v>21285.1495782694</v>
      </c>
      <c r="H78" s="15">
        <v>37299.9985851998</v>
      </c>
    </row>
    <row r="80" spans="1:8">
      <c r="A80" s="6">
        <v>2057</v>
      </c>
      <c r="B80" s="15">
        <v>88106.585254365</v>
      </c>
      <c r="C80" s="15">
        <v>-404.585888987502</v>
      </c>
      <c r="D80" s="15">
        <v>20519.7507417215</v>
      </c>
      <c r="E80" s="15">
        <v>4997.80435872788</v>
      </c>
      <c r="F80" s="15">
        <v>13542.5019983406</v>
      </c>
      <c r="G80" s="15">
        <v>20946.4750013833</v>
      </c>
      <c r="H80" s="15">
        <v>38201.8802235283</v>
      </c>
    </row>
    <row r="82" spans="1:8">
      <c r="A82" s="6">
        <v>2058</v>
      </c>
      <c r="B82" s="15">
        <v>89823.1920993308</v>
      </c>
      <c r="C82" s="15">
        <v>-202.899192690275</v>
      </c>
      <c r="D82" s="15">
        <v>21202.6294698733</v>
      </c>
      <c r="E82" s="15">
        <v>5121.81971372403</v>
      </c>
      <c r="F82" s="15">
        <v>13527.1937155558</v>
      </c>
      <c r="G82" s="15">
        <v>20613.1891800992</v>
      </c>
      <c r="H82" s="15">
        <v>39085.4940399467</v>
      </c>
    </row>
    <row r="84" spans="1:8">
      <c r="A84" s="6">
        <v>2059</v>
      </c>
      <c r="B84" s="15">
        <v>91512.4854835778</v>
      </c>
      <c r="C84" s="15">
        <v>14.4444598139886</v>
      </c>
      <c r="D84" s="15">
        <v>21899.0443176674</v>
      </c>
      <c r="E84" s="15">
        <v>5248.52141075929</v>
      </c>
      <c r="F84" s="15">
        <v>13513.5703086009</v>
      </c>
      <c r="G84" s="15">
        <v>20285.2063722654</v>
      </c>
      <c r="H84" s="15">
        <v>39951.9812362566</v>
      </c>
    </row>
    <row r="86" spans="1:8">
      <c r="A86" s="6">
        <v>2060</v>
      </c>
      <c r="B86" s="15">
        <v>93174.9</v>
      </c>
      <c r="C86" s="15">
        <v>247.572818181857</v>
      </c>
      <c r="D86" s="15">
        <v>22609.2636</v>
      </c>
      <c r="E86" s="15">
        <v>5377.96763967273</v>
      </c>
      <c r="F86" s="15">
        <v>13501.67423612</v>
      </c>
      <c r="G86" s="15">
        <v>19962.4422</v>
      </c>
      <c r="H86" s="15">
        <v>40802.3675060254</v>
      </c>
    </row>
  </sheetData>
  <mergeCells count="4">
    <mergeCell ref="A1:H1"/>
    <mergeCell ref="A2:H2"/>
    <mergeCell ref="A4:D4"/>
    <mergeCell ref="A12:H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47"/>
  <sheetViews>
    <sheetView workbookViewId="0">
      <selection activeCell="A1" sqref="A1:F1"/>
    </sheetView>
  </sheetViews>
  <sheetFormatPr defaultColWidth="9" defaultRowHeight="16.8" outlineLevelCol="5"/>
  <cols>
    <col min="1" max="6" width="28" customWidth="1"/>
  </cols>
  <sheetData>
    <row r="1" ht="20.4" spans="1:6">
      <c r="A1" s="1" t="s">
        <v>239</v>
      </c>
      <c r="B1" s="2"/>
      <c r="C1" s="2"/>
      <c r="D1" s="2"/>
      <c r="E1" s="2"/>
      <c r="F1" s="11"/>
    </row>
    <row r="3" ht="17.6" spans="1:6">
      <c r="A3" s="3" t="s">
        <v>240</v>
      </c>
      <c r="B3" s="4"/>
      <c r="C3" s="4"/>
      <c r="D3" s="4"/>
      <c r="E3" s="4"/>
      <c r="F3" s="4"/>
    </row>
    <row r="4" ht="17" spans="1:6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</row>
    <row r="5" ht="31" spans="1:6">
      <c r="A5" s="6" t="s">
        <v>247</v>
      </c>
      <c r="B5" s="6">
        <v>2023</v>
      </c>
      <c r="C5" s="6">
        <v>2035</v>
      </c>
      <c r="D5" s="7" t="s">
        <v>248</v>
      </c>
      <c r="E5" s="9" t="s">
        <v>249</v>
      </c>
      <c r="F5" s="12" t="s">
        <v>250</v>
      </c>
    </row>
    <row r="7" ht="31" spans="1:6">
      <c r="A7" s="6" t="s">
        <v>251</v>
      </c>
      <c r="B7" s="6">
        <v>2023</v>
      </c>
      <c r="C7" s="6">
        <v>2035</v>
      </c>
      <c r="D7" s="7" t="s">
        <v>248</v>
      </c>
      <c r="E7" s="9" t="s">
        <v>249</v>
      </c>
      <c r="F7" s="12" t="s">
        <v>252</v>
      </c>
    </row>
    <row r="9" ht="31" spans="1:6">
      <c r="A9" s="6" t="s">
        <v>253</v>
      </c>
      <c r="B9" s="6">
        <v>2025</v>
      </c>
      <c r="C9" s="6">
        <v>2035</v>
      </c>
      <c r="D9" s="7" t="s">
        <v>254</v>
      </c>
      <c r="E9" s="9" t="s">
        <v>255</v>
      </c>
      <c r="F9" s="12" t="s">
        <v>252</v>
      </c>
    </row>
    <row r="11" spans="1:6">
      <c r="A11" s="6" t="s">
        <v>256</v>
      </c>
      <c r="B11" s="6">
        <v>2025</v>
      </c>
      <c r="C11" s="6">
        <v>2035</v>
      </c>
      <c r="D11" s="7" t="s">
        <v>257</v>
      </c>
      <c r="E11" s="9" t="s">
        <v>255</v>
      </c>
      <c r="F11" s="12" t="s">
        <v>258</v>
      </c>
    </row>
    <row r="13" ht="31" spans="1:6">
      <c r="A13" s="6" t="s">
        <v>259</v>
      </c>
      <c r="B13" s="6">
        <v>2022</v>
      </c>
      <c r="C13" s="6">
        <v>2030</v>
      </c>
      <c r="D13" s="7" t="s">
        <v>260</v>
      </c>
      <c r="E13" s="9" t="s">
        <v>261</v>
      </c>
      <c r="F13" s="12" t="s">
        <v>252</v>
      </c>
    </row>
    <row r="15" ht="31" spans="1:6">
      <c r="A15" s="6" t="s">
        <v>262</v>
      </c>
      <c r="B15" s="6">
        <v>2025</v>
      </c>
      <c r="C15" s="6">
        <v>2033</v>
      </c>
      <c r="D15" s="7" t="s">
        <v>263</v>
      </c>
      <c r="E15" s="9" t="s">
        <v>264</v>
      </c>
      <c r="F15" s="12" t="s">
        <v>252</v>
      </c>
    </row>
    <row r="17" ht="31" spans="1:6">
      <c r="A17" s="6" t="s">
        <v>265</v>
      </c>
      <c r="B17" s="6">
        <v>2030</v>
      </c>
      <c r="C17" s="6">
        <v>2030</v>
      </c>
      <c r="D17" s="7" t="s">
        <v>266</v>
      </c>
      <c r="E17" s="9" t="s">
        <v>267</v>
      </c>
      <c r="F17" s="12" t="s">
        <v>268</v>
      </c>
    </row>
    <row r="19" spans="1:5">
      <c r="A19" s="8" t="s">
        <v>269</v>
      </c>
      <c r="E19" s="9" t="s">
        <v>270</v>
      </c>
    </row>
    <row r="21" ht="17.6" spans="1:6">
      <c r="A21" s="3" t="s">
        <v>271</v>
      </c>
      <c r="B21" s="4"/>
      <c r="C21" s="4"/>
      <c r="D21" s="4"/>
      <c r="E21" s="4"/>
      <c r="F21" s="4"/>
    </row>
    <row r="22" ht="17" spans="1:6">
      <c r="A22" s="5" t="s">
        <v>15</v>
      </c>
      <c r="B22" s="5" t="s">
        <v>272</v>
      </c>
      <c r="C22" s="5" t="s">
        <v>273</v>
      </c>
      <c r="D22" s="5" t="s">
        <v>45</v>
      </c>
      <c r="E22" s="5" t="s">
        <v>274</v>
      </c>
      <c r="F22" s="5" t="s">
        <v>275</v>
      </c>
    </row>
    <row r="23" spans="1:6">
      <c r="A23" s="8" t="s">
        <v>276</v>
      </c>
      <c r="B23" s="6" t="s">
        <v>277</v>
      </c>
      <c r="C23" s="6" t="s">
        <v>278</v>
      </c>
      <c r="D23" s="6" t="s">
        <v>279</v>
      </c>
      <c r="E23" s="6" t="s">
        <v>280</v>
      </c>
      <c r="F23" s="6" t="s">
        <v>281</v>
      </c>
    </row>
    <row r="24" spans="1:6">
      <c r="A24" s="8" t="s">
        <v>282</v>
      </c>
      <c r="B24" s="6" t="s">
        <v>283</v>
      </c>
      <c r="C24" s="6" t="s">
        <v>284</v>
      </c>
      <c r="D24" s="6" t="s">
        <v>285</v>
      </c>
      <c r="E24" s="6" t="s">
        <v>286</v>
      </c>
      <c r="F24" s="6" t="s">
        <v>287</v>
      </c>
    </row>
    <row r="25" spans="1:6">
      <c r="A25" s="9" t="s">
        <v>288</v>
      </c>
      <c r="B25" s="10" t="s">
        <v>166</v>
      </c>
      <c r="C25" s="10" t="s">
        <v>289</v>
      </c>
      <c r="D25" s="10" t="s">
        <v>290</v>
      </c>
      <c r="E25" s="10" t="s">
        <v>291</v>
      </c>
      <c r="F25" s="10" t="s">
        <v>292</v>
      </c>
    </row>
    <row r="27" ht="17.6" spans="1:6">
      <c r="A27" s="3" t="s">
        <v>293</v>
      </c>
      <c r="B27" s="4"/>
      <c r="C27" s="4"/>
      <c r="D27" s="4"/>
      <c r="E27" s="4"/>
      <c r="F27" s="4"/>
    </row>
    <row r="28" ht="17" spans="1:3">
      <c r="A28" s="5" t="s">
        <v>294</v>
      </c>
      <c r="B28" s="5" t="s">
        <v>295</v>
      </c>
      <c r="C28" s="5" t="s">
        <v>296</v>
      </c>
    </row>
    <row r="29" spans="1:3">
      <c r="A29" s="6" t="s">
        <v>297</v>
      </c>
      <c r="B29" s="6" t="s">
        <v>298</v>
      </c>
      <c r="C29" s="6" t="s">
        <v>299</v>
      </c>
    </row>
    <row r="30" spans="1:3">
      <c r="A30" s="6" t="s">
        <v>300</v>
      </c>
      <c r="B30" s="6" t="s">
        <v>301</v>
      </c>
      <c r="C30" s="6" t="s">
        <v>302</v>
      </c>
    </row>
    <row r="31" spans="1:3">
      <c r="A31" s="6" t="s">
        <v>303</v>
      </c>
      <c r="B31" s="6" t="s">
        <v>304</v>
      </c>
      <c r="C31" s="6" t="s">
        <v>305</v>
      </c>
    </row>
    <row r="32" spans="1:3">
      <c r="A32" s="6" t="s">
        <v>306</v>
      </c>
      <c r="B32" s="6" t="s">
        <v>307</v>
      </c>
      <c r="C32" s="6" t="s">
        <v>308</v>
      </c>
    </row>
    <row r="33" spans="1:3">
      <c r="A33" s="6" t="s">
        <v>309</v>
      </c>
      <c r="B33" s="6" t="s">
        <v>310</v>
      </c>
      <c r="C33" s="6" t="s">
        <v>311</v>
      </c>
    </row>
    <row r="34" spans="1:3">
      <c r="A34" s="6" t="s">
        <v>312</v>
      </c>
      <c r="B34" s="6" t="s">
        <v>313</v>
      </c>
      <c r="C34" s="6" t="s">
        <v>314</v>
      </c>
    </row>
    <row r="36" ht="17.6" spans="1:6">
      <c r="A36" s="3" t="s">
        <v>315</v>
      </c>
      <c r="B36" s="4"/>
      <c r="C36" s="4"/>
      <c r="D36" s="4"/>
      <c r="E36" s="4"/>
      <c r="F36" s="4"/>
    </row>
    <row r="37" ht="17" spans="1:4">
      <c r="A37" s="5" t="s">
        <v>316</v>
      </c>
      <c r="B37" s="5" t="s">
        <v>317</v>
      </c>
      <c r="C37" s="5" t="s">
        <v>318</v>
      </c>
      <c r="D37" s="5" t="s">
        <v>319</v>
      </c>
    </row>
    <row r="38" spans="1:4">
      <c r="A38" s="8" t="s">
        <v>320</v>
      </c>
      <c r="B38" s="8" t="s">
        <v>321</v>
      </c>
      <c r="C38" s="8" t="s">
        <v>314</v>
      </c>
      <c r="D38" s="8" t="s">
        <v>322</v>
      </c>
    </row>
    <row r="39" spans="1:4">
      <c r="A39" s="8" t="s">
        <v>323</v>
      </c>
      <c r="B39" s="8" t="s">
        <v>324</v>
      </c>
      <c r="C39" s="8" t="s">
        <v>325</v>
      </c>
      <c r="D39" s="8" t="s">
        <v>326</v>
      </c>
    </row>
    <row r="40" spans="1:4">
      <c r="A40" s="9" t="s">
        <v>327</v>
      </c>
      <c r="B40" s="9" t="s">
        <v>328</v>
      </c>
      <c r="C40" s="9" t="s">
        <v>166</v>
      </c>
      <c r="D40" s="9" t="s">
        <v>329</v>
      </c>
    </row>
    <row r="42" ht="17.6" spans="1:6">
      <c r="A42" s="3" t="s">
        <v>330</v>
      </c>
      <c r="B42" s="4"/>
      <c r="C42" s="4"/>
      <c r="D42" s="4"/>
      <c r="E42" s="4"/>
      <c r="F42" s="4"/>
    </row>
    <row r="43" ht="17" spans="1:4">
      <c r="A43" s="5" t="s">
        <v>331</v>
      </c>
      <c r="B43" s="5" t="s">
        <v>317</v>
      </c>
      <c r="C43" s="5" t="s">
        <v>332</v>
      </c>
      <c r="D43" s="5" t="s">
        <v>319</v>
      </c>
    </row>
    <row r="44" spans="1:4">
      <c r="A44" s="8" t="s">
        <v>333</v>
      </c>
      <c r="B44" s="8" t="s">
        <v>334</v>
      </c>
      <c r="C44" s="8" t="s">
        <v>329</v>
      </c>
      <c r="D44" s="8" t="s">
        <v>335</v>
      </c>
    </row>
    <row r="45" spans="1:4">
      <c r="A45" s="8" t="s">
        <v>336</v>
      </c>
      <c r="B45" s="8" t="s">
        <v>337</v>
      </c>
      <c r="C45" s="8" t="s">
        <v>338</v>
      </c>
      <c r="D45" s="8" t="s">
        <v>338</v>
      </c>
    </row>
    <row r="46" spans="1:4">
      <c r="A46" s="8" t="s">
        <v>339</v>
      </c>
      <c r="B46" s="8" t="s">
        <v>340</v>
      </c>
      <c r="C46" s="8" t="s">
        <v>341</v>
      </c>
      <c r="D46" s="8" t="s">
        <v>342</v>
      </c>
    </row>
    <row r="47" spans="1:4">
      <c r="A47" s="9" t="s">
        <v>343</v>
      </c>
      <c r="B47" s="9" t="s">
        <v>328</v>
      </c>
      <c r="C47" s="9" t="s">
        <v>166</v>
      </c>
      <c r="D47" s="9" t="s">
        <v>344</v>
      </c>
    </row>
  </sheetData>
  <mergeCells count="6">
    <mergeCell ref="A1:F1"/>
    <mergeCell ref="A3:F3"/>
    <mergeCell ref="A21:F21"/>
    <mergeCell ref="A27:F27"/>
    <mergeCell ref="A36:F36"/>
    <mergeCell ref="A42:F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模型总览与设计逻辑</vt:lpstr>
      <vt:lpstr>积极情景</vt:lpstr>
      <vt:lpstr>适度情景</vt:lpstr>
      <vt:lpstr>保守情景</vt:lpstr>
      <vt:lpstr>汇总对比与可视化看板</vt:lpstr>
      <vt:lpstr>金融机构目标设置（组合估算）</vt:lpstr>
      <vt:lpstr>金融机构目标设置（企业）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徐心莹</cp:lastModifiedBy>
  <dcterms:created xsi:type="dcterms:W3CDTF">2026-04-16T05:49:00Z</dcterms:created>
  <dcterms:modified xsi:type="dcterms:W3CDTF">2026-05-11T20:44:54Z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2052-6.13.1.8913</vt:lpwstr>
  </property>
  <property fmtid="{D5CDD505-2E9C-101B-9397-08002B2CF9AE}" pid="3" name="ICV">
    <vt:lpwstr>6D5461062B51B35C08CF016A10F7CBED_43</vt:lpwstr>
  </property>
</Properties>
</file>