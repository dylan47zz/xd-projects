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860" windowHeight="10600" tabRatio="600" firstSheet="0" activeTab="3" autoFilterDateGrouping="1"/>
  </bookViews>
  <sheets>
    <sheet name="模型总览与设计逻辑" sheetId="1" state="visible" r:id="rId1"/>
    <sheet name="积极情景" sheetId="2" state="visible" r:id="rId2"/>
    <sheet name="适度情景" sheetId="3" state="visible" r:id="rId3"/>
    <sheet name="保守情景" sheetId="4" state="visible" r:id="rId4"/>
    <sheet name="汇总对比与可视化看板" sheetId="5" state="visible" r:id="rId5"/>
    <sheet name="金融机构目标设置（组合估算）" sheetId="6" state="visible" r:id="rId6"/>
    <sheet name="金融机构目标设置（企业）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10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rgb="FF1F4E79"/>
      <sz val="14"/>
    </font>
    <font>
      <name val="微软雅黑"/>
      <charset val="134"/>
      <family val="2"/>
      <b val="1"/>
      <color rgb="FF1F4E79"/>
      <sz val="12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i val="1"/>
      <color rgb="FF666666"/>
      <sz val="9"/>
    </font>
    <font>
      <name val="宋体"/>
      <charset val="134"/>
      <family val="3"/>
      <b val="1"/>
      <color rgb="FF2B2D31"/>
      <sz val="14"/>
      <scheme val="minor"/>
    </font>
    <font>
      <name val="宋体"/>
      <charset val="134"/>
      <family val="3"/>
      <color rgb="FF2B2D31"/>
      <sz val="14"/>
      <scheme val="minor"/>
    </font>
    <font>
      <name val="宋体"/>
      <charset val="134"/>
      <family val="3"/>
      <sz val="9"/>
      <scheme val="minor"/>
    </font>
  </fonts>
  <fills count="14">
    <fill>
      <patternFill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rgb="FFE8DAEF"/>
        <bgColor rgb="FFE8DAEF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wrapText="1" indent="2"/>
    </xf>
    <xf numFmtId="0" fontId="8" fillId="6" borderId="0" applyAlignment="1" pivotButton="0" quotePrefix="0" xfId="0">
      <alignment horizontal="left" wrapText="1" indent="2"/>
    </xf>
    <xf numFmtId="10" fontId="8" fillId="6" borderId="0" applyAlignment="1" pivotButton="0" quotePrefix="0" xfId="0">
      <alignment horizontal="left" wrapText="1" indent="2"/>
    </xf>
    <xf numFmtId="3" fontId="8" fillId="6" borderId="0" applyAlignment="1" pivotButton="0" quotePrefix="0" xfId="0">
      <alignment horizontal="left" wrapText="1" indent="2"/>
    </xf>
    <xf numFmtId="0" fontId="5" fillId="7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6" fontId="4" fillId="5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H50"/>
  <sheetViews>
    <sheetView workbookViewId="0">
      <selection activeCell="A1" sqref="A1:H1"/>
    </sheetView>
  </sheetViews>
  <sheetFormatPr baseColWidth="10" defaultColWidth="9" defaultRowHeight="14"/>
  <cols>
    <col width="32" customWidth="1" min="1" max="1"/>
    <col width="18" customWidth="1" min="2" max="8"/>
  </cols>
  <sheetData>
    <row r="1" ht="20.5" customHeight="1">
      <c r="A1" s="38" t="inlineStr">
        <is>
          <t>钢铁行业减碳基准路径模型 V7 - 行业基准校准版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9" t="inlineStr">
        <is>
          <t>由碳强度目标倒推技术路径比例 | 基准年碳强度=1.95 | 2024-2060逐年 | CCUS百万吨起步</t>
        </is>
      </c>
      <c r="B2" s="35" t="n"/>
      <c r="C2" s="35" t="n"/>
      <c r="D2" s="35" t="n"/>
      <c r="E2" s="35" t="n"/>
      <c r="F2" s="35" t="n"/>
      <c r="G2" s="35" t="n"/>
      <c r="H2" s="36" t="n"/>
    </row>
    <row r="4" ht="17.5" customHeight="1">
      <c r="A4" s="34" t="inlineStr">
        <is>
          <t>一、模型目的</t>
        </is>
      </c>
      <c r="B4" s="35" t="n"/>
      <c r="C4" s="35" t="n"/>
      <c r="D4" s="35" t="n"/>
      <c r="E4" s="35" t="n"/>
      <c r="F4" s="35" t="n"/>
      <c r="G4" s="35" t="n"/>
      <c r="H4" s="36" t="n"/>
    </row>
    <row r="5">
      <c r="A5" s="37" t="inlineStr">
        <is>
          <t>本模型为金融机构转型金融业务提供钢铁行业减碳基准路径参考。</t>
        </is>
      </c>
      <c r="B5" s="35" t="n"/>
      <c r="C5" s="35" t="n"/>
      <c r="D5" s="35" t="n"/>
      <c r="E5" s="35" t="n"/>
      <c r="F5" s="35" t="n"/>
      <c r="G5" s="35" t="n"/>
      <c r="H5" s="36" t="n"/>
    </row>
    <row r="6">
      <c r="A6" s="37" t="inlineStr">
        <is>
          <t>核心方法论: 自上而下(CG碳预算) + 自下而上(行业技术路径) 双路径耦合。</t>
        </is>
      </c>
      <c r="B6" s="35" t="n"/>
      <c r="C6" s="35" t="n"/>
      <c r="D6" s="35" t="n"/>
      <c r="E6" s="35" t="n"/>
      <c r="F6" s="35" t="n"/>
      <c r="G6" s="35" t="n"/>
      <c r="H6" s="36" t="n"/>
    </row>
    <row r="7">
      <c r="A7" s="37" t="inlineStr">
        <is>
          <t>模型本质: 由结果(碳强度目标)倒推过程(技术路径比例)，确保关键年份目标对齐。</t>
        </is>
      </c>
      <c r="B7" s="35" t="n"/>
      <c r="C7" s="35" t="n"/>
      <c r="D7" s="35" t="n"/>
      <c r="E7" s="35" t="n"/>
      <c r="F7" s="35" t="n"/>
      <c r="G7" s="35" t="n"/>
      <c r="H7" s="36" t="n"/>
    </row>
    <row r="9" ht="17.5" customHeight="1">
      <c r="A9" s="34" t="inlineStr">
        <is>
          <t>二、全局硬性规定</t>
        </is>
      </c>
      <c r="B9" s="35" t="n"/>
      <c r="C9" s="35" t="n"/>
      <c r="D9" s="35" t="n"/>
      <c r="E9" s="35" t="n"/>
      <c r="F9" s="35" t="n"/>
      <c r="G9" s="35" t="n"/>
      <c r="H9" s="36" t="n"/>
    </row>
    <row r="10">
      <c r="A10" s="37" t="inlineStr">
        <is>
          <t>1. 禁止硬编码: 除Step1/2基准数据外，所有数值由公式生成。</t>
        </is>
      </c>
      <c r="B10" s="35" t="n"/>
      <c r="C10" s="35" t="n"/>
      <c r="D10" s="35" t="n"/>
      <c r="E10" s="35" t="n"/>
      <c r="F10" s="35" t="n"/>
      <c r="G10" s="35" t="n"/>
      <c r="H10" s="36" t="n"/>
    </row>
    <row r="11">
      <c r="A11" s="37" t="inlineStr">
        <is>
          <t>2. 年份连续: 2024-2060每一年数据，不得省略。</t>
        </is>
      </c>
      <c r="B11" s="35" t="n"/>
      <c r="C11" s="35" t="n"/>
      <c r="D11" s="35" t="n"/>
      <c r="E11" s="35" t="n"/>
      <c r="F11" s="35" t="n"/>
      <c r="G11" s="35" t="n"/>
      <c r="H11" s="36" t="n"/>
    </row>
    <row r="12">
      <c r="A12" s="37" t="inlineStr">
        <is>
          <t>3. 情景梯度: 保守 &gt; 适度 &gt; 积极(每年都必须成立)。</t>
        </is>
      </c>
      <c r="B12" s="35" t="n"/>
      <c r="C12" s="35" t="n"/>
      <c r="D12" s="35" t="n"/>
      <c r="E12" s="35" t="n"/>
      <c r="F12" s="35" t="n"/>
      <c r="G12" s="35" t="n"/>
      <c r="H12" s="36" t="n"/>
    </row>
    <row r="13">
      <c r="A13" s="37" t="inlineStr">
        <is>
          <t>4. 基准年约束: 2024年碳强度=1.95, 2025年碳强度=1.904(三情景统一, 自然效应)。</t>
        </is>
      </c>
      <c r="B13" s="35" t="n"/>
      <c r="C13" s="35" t="n"/>
      <c r="D13" s="35" t="n"/>
      <c r="E13" s="35" t="n"/>
      <c r="F13" s="35" t="n"/>
      <c r="G13" s="35" t="n"/>
      <c r="H13" s="36" t="n"/>
    </row>
    <row r="14">
      <c r="A14" s="37" t="inlineStr">
        <is>
          <t>5. 单位规范: 产量(万吨), 碳排放(万吨CO2), 碳强度(tCO2/t)。</t>
        </is>
      </c>
      <c r="B14" s="35" t="n"/>
      <c r="C14" s="35" t="n"/>
      <c r="D14" s="35" t="n"/>
      <c r="E14" s="35" t="n"/>
      <c r="F14" s="35" t="n"/>
      <c r="G14" s="35" t="n"/>
      <c r="H14" s="36" t="n"/>
    </row>
    <row r="15">
      <c r="A15" s="37" t="inlineStr">
        <is>
          <t>6. CCUS约束: 百万吨起步, 2030年保守200-500/适度500-800/积极800-1200万吨。</t>
        </is>
      </c>
      <c r="B15" s="35" t="n"/>
      <c r="C15" s="35" t="n"/>
      <c r="D15" s="35" t="n"/>
      <c r="E15" s="35" t="n"/>
      <c r="F15" s="35" t="n"/>
      <c r="G15" s="35" t="n"/>
      <c r="H15" s="36" t="n"/>
    </row>
    <row r="16">
      <c r="A16" s="37" t="inlineStr">
        <is>
          <t>7. H2冶金基准: 2024年=1%(约1000万吨), 2030年~2900万吨, 2050年0.96-1.12亿吨。</t>
        </is>
      </c>
      <c r="B16" s="35" t="n"/>
      <c r="C16" s="35" t="n"/>
      <c r="D16" s="35" t="n"/>
      <c r="E16" s="35" t="n"/>
      <c r="F16" s="35" t="n"/>
      <c r="G16" s="35" t="n"/>
      <c r="H16" s="36" t="n"/>
    </row>
    <row r="17" ht="17.5" customHeight="1">
      <c r="A17" s="34" t="inlineStr">
        <is>
          <t>三、关键年份目标(已校准)</t>
        </is>
      </c>
      <c r="B17" s="35" t="n"/>
      <c r="C17" s="35" t="n"/>
      <c r="D17" s="35" t="n"/>
      <c r="E17" s="35" t="n"/>
      <c r="F17" s="35" t="n"/>
      <c r="G17" s="35" t="n"/>
      <c r="H17" s="36" t="n"/>
    </row>
    <row r="18" ht="17" customHeight="1">
      <c r="A18" s="1" t="inlineStr">
        <is>
          <t>指标</t>
        </is>
      </c>
      <c r="B18" s="31" t="inlineStr">
        <is>
          <t>积极</t>
        </is>
      </c>
      <c r="C18" s="32" t="inlineStr">
        <is>
          <t>适度</t>
        </is>
      </c>
      <c r="D18" s="33" t="inlineStr">
        <is>
          <t>保守</t>
        </is>
      </c>
    </row>
    <row r="19" ht="17" customHeight="1">
      <c r="A19" s="37" t="inlineStr">
        <is>
          <t>2024碳强度</t>
        </is>
      </c>
      <c r="B19" s="2" t="inlineStr">
        <is>
          <t>1.9500</t>
        </is>
      </c>
      <c r="C19" s="2" t="inlineStr">
        <is>
          <t>1.9500</t>
        </is>
      </c>
      <c r="D19" s="2" t="inlineStr">
        <is>
          <t>1.9500</t>
        </is>
      </c>
    </row>
    <row r="20" ht="17" customHeight="1">
      <c r="A20" s="37" t="inlineStr">
        <is>
          <t>2025碳强度</t>
        </is>
      </c>
      <c r="B20" s="2" t="inlineStr">
        <is>
          <t>1.9051</t>
        </is>
      </c>
      <c r="C20" s="2" t="inlineStr">
        <is>
          <t>1.9051</t>
        </is>
      </c>
      <c r="D20" s="2" t="inlineStr">
        <is>
          <t>1.9051</t>
        </is>
      </c>
    </row>
    <row r="21" ht="17" customHeight="1">
      <c r="A21" s="37" t="inlineStr">
        <is>
          <t>2030碳强度</t>
        </is>
      </c>
      <c r="B21" s="2" t="inlineStr">
        <is>
          <t>1.5920</t>
        </is>
      </c>
      <c r="C21" s="2" t="inlineStr">
        <is>
          <t>1.7990</t>
        </is>
      </c>
      <c r="D21" s="2" t="inlineStr">
        <is>
          <t>1.8425</t>
        </is>
      </c>
    </row>
    <row r="22" ht="17" customHeight="1">
      <c r="A22" s="37" t="inlineStr">
        <is>
          <t>2030降幅(vs2024)</t>
        </is>
      </c>
      <c r="B22" s="2" t="inlineStr">
        <is>
          <t>-18.36%</t>
        </is>
      </c>
      <c r="C22" s="2" t="inlineStr">
        <is>
          <t>-7.74%</t>
        </is>
      </c>
      <c r="D22" s="2" t="inlineStr">
        <is>
          <t>-5.52%</t>
        </is>
      </c>
    </row>
    <row r="23" ht="17" customHeight="1">
      <c r="A23" s="37" t="inlineStr">
        <is>
          <t>2035碳强度</t>
        </is>
      </c>
      <c r="B23" s="2" t="inlineStr">
        <is>
          <t>1.1734</t>
        </is>
      </c>
      <c r="C23" s="2" t="inlineStr">
        <is>
          <t>1.6185</t>
        </is>
      </c>
      <c r="D23" s="2" t="inlineStr">
        <is>
          <t>1.6814</t>
        </is>
      </c>
    </row>
    <row r="24" ht="17" customHeight="1">
      <c r="A24" s="37" t="inlineStr">
        <is>
          <t>2060碳强度</t>
        </is>
      </c>
      <c r="B24" s="2" t="inlineStr">
        <is>
          <t>0.0040</t>
        </is>
      </c>
      <c r="C24" s="2" t="inlineStr">
        <is>
          <t>0.0060</t>
        </is>
      </c>
      <c r="D24" s="2" t="inlineStr">
        <is>
          <t>0.0080</t>
        </is>
      </c>
    </row>
    <row r="25" ht="17" customHeight="1">
      <c r="A25" s="37" t="inlineStr">
        <is>
          <t>2060 CCUS(亿吨)</t>
        </is>
      </c>
      <c r="B25" s="2" t="inlineStr">
        <is>
          <t>2.7</t>
        </is>
      </c>
      <c r="C25" s="2" t="inlineStr">
        <is>
          <t>4.1</t>
        </is>
      </c>
      <c r="D25" s="2" t="inlineStr">
        <is>
          <t>5.6</t>
        </is>
      </c>
    </row>
    <row r="27" ht="17.5" customHeight="1">
      <c r="A27" s="34" t="inlineStr">
        <is>
          <t>四、基准年参数(Step 2)</t>
        </is>
      </c>
      <c r="B27" s="35" t="n"/>
      <c r="C27" s="35" t="n"/>
      <c r="D27" s="35" t="n"/>
      <c r="E27" s="35" t="n"/>
      <c r="F27" s="35" t="n"/>
      <c r="G27" s="35" t="n"/>
      <c r="H27" s="36" t="n"/>
    </row>
    <row r="28" ht="17" customHeight="1">
      <c r="A28" s="37" t="inlineStr">
        <is>
          <t>基准年</t>
        </is>
      </c>
      <c r="B28" s="24" t="inlineStr">
        <is>
          <t>2024</t>
        </is>
      </c>
      <c r="C28" s="37" t="inlineStr">
        <is>
          <t>长流程废钢比(%)</t>
        </is>
      </c>
      <c r="D28" s="24" t="inlineStr">
        <is>
          <t>30</t>
        </is>
      </c>
    </row>
    <row r="29" ht="17" customHeight="1">
      <c r="A29" s="37" t="inlineStr">
        <is>
          <t>粗钢产量(万吨)</t>
        </is>
      </c>
      <c r="B29" s="24" t="inlineStr">
        <is>
          <t>100,509</t>
        </is>
      </c>
      <c r="C29" s="37" t="inlineStr">
        <is>
          <t>短流程废钢比(%)</t>
        </is>
      </c>
      <c r="D29" s="24" t="inlineStr">
        <is>
          <t>100</t>
        </is>
      </c>
    </row>
    <row r="30" ht="17" customHeight="1">
      <c r="A30" s="37" t="inlineStr">
        <is>
          <t>碳排放总量(万吨CO2)</t>
        </is>
      </c>
      <c r="B30" s="24" t="inlineStr">
        <is>
          <t>195,992</t>
        </is>
      </c>
      <c r="C30" s="37" t="inlineStr">
        <is>
          <t>氢冶金废钢比(%)</t>
        </is>
      </c>
      <c r="D30" s="24" t="inlineStr">
        <is>
          <t>50</t>
        </is>
      </c>
    </row>
    <row r="31" ht="17" customHeight="1">
      <c r="A31" s="37" t="inlineStr">
        <is>
          <t>吨钢碳排放强度(tCO2/t)</t>
        </is>
      </c>
      <c r="B31" s="24" t="inlineStr">
        <is>
          <t>1.95</t>
        </is>
      </c>
      <c r="C31" s="37" t="inlineStr">
        <is>
          <t>吨钢耗废钢量</t>
        </is>
      </c>
      <c r="D31" s="24" t="inlineStr">
        <is>
          <t>1.1</t>
        </is>
      </c>
    </row>
    <row r="32" ht="17" customHeight="1">
      <c r="A32" s="37" t="inlineStr">
        <is>
          <t>长流程产量占比(%)</t>
        </is>
      </c>
      <c r="B32" s="24" t="inlineStr">
        <is>
          <t>89</t>
        </is>
      </c>
      <c r="C32" s="37" t="inlineStr">
        <is>
          <t>吨钢耗铁水量</t>
        </is>
      </c>
      <c r="D32" s="24" t="inlineStr">
        <is>
          <t>1.053</t>
        </is>
      </c>
    </row>
    <row r="33" ht="17" customHeight="1">
      <c r="A33" s="37" t="inlineStr">
        <is>
          <t>短流程产量占比(%)</t>
        </is>
      </c>
      <c r="B33" s="24" t="inlineStr">
        <is>
          <t>10</t>
        </is>
      </c>
      <c r="C33" s="37" t="inlineStr">
        <is>
          <t>吨铁水耗铁矿石量</t>
        </is>
      </c>
      <c r="D33" s="24" t="inlineStr">
        <is>
          <t>1.65</t>
        </is>
      </c>
    </row>
    <row r="34" ht="31" customHeight="1">
      <c r="A34" s="37" t="inlineStr">
        <is>
          <t>氢冶金产量占比(%)</t>
        </is>
      </c>
      <c r="B34" s="24" t="inlineStr">
        <is>
          <t>1</t>
        </is>
      </c>
      <c r="C34" s="37" t="inlineStr">
        <is>
          <t>BF-BOF碳排放强度(tCO2/t)</t>
        </is>
      </c>
      <c r="D34" s="24" t="inlineStr">
        <is>
          <t>1.80</t>
        </is>
      </c>
    </row>
    <row r="35" ht="31" customHeight="1">
      <c r="C35" s="37" t="inlineStr">
        <is>
          <t>Scrap-EAF碳排放强度(tCO2/t)</t>
        </is>
      </c>
      <c r="D35" s="24" t="inlineStr">
        <is>
          <t>0.45</t>
        </is>
      </c>
    </row>
    <row r="36" ht="31" customHeight="1">
      <c r="C36" s="37" t="inlineStr">
        <is>
          <t>长流程铁水碳排放强度(tCO2/t)</t>
        </is>
      </c>
      <c r="D36" s="24" t="inlineStr">
        <is>
          <t>1.26</t>
        </is>
      </c>
    </row>
    <row r="37" ht="31" customHeight="1">
      <c r="C37" s="37" t="inlineStr">
        <is>
          <t>DRI-EAF碳排放强度(tCO2/t)</t>
        </is>
      </c>
      <c r="D37" s="24" t="inlineStr">
        <is>
          <t>1.65</t>
        </is>
      </c>
    </row>
    <row r="38" ht="31" customHeight="1">
      <c r="C38" s="37" t="inlineStr">
        <is>
          <t>电网因子(kgCO2/kWh)</t>
        </is>
      </c>
      <c r="D38" s="24" t="inlineStr">
        <is>
          <t>0.5306</t>
        </is>
      </c>
    </row>
    <row r="39" ht="31" customHeight="1">
      <c r="C39" s="37" t="inlineStr">
        <is>
          <t>BF-BOF耗电(kWh/t)</t>
        </is>
      </c>
      <c r="D39" s="24" t="inlineStr">
        <is>
          <t>450</t>
        </is>
      </c>
    </row>
    <row r="40" ht="31" customHeight="1">
      <c r="C40" s="37" t="inlineStr">
        <is>
          <t>Scrap-EAF耗电(kWh/t)</t>
        </is>
      </c>
      <c r="D40" s="24" t="inlineStr">
        <is>
          <t>550</t>
        </is>
      </c>
    </row>
    <row r="41" ht="31" customHeight="1">
      <c r="C41" s="37" t="inlineStr">
        <is>
          <t>DRI-EAF耗电(kWh/t)</t>
        </is>
      </c>
      <c r="D41" s="24" t="inlineStr">
        <is>
          <t>500</t>
        </is>
      </c>
    </row>
    <row r="43" ht="17.5" customHeight="1">
      <c r="A43" s="34" t="inlineStr">
        <is>
          <t>五、Sheet索引</t>
        </is>
      </c>
      <c r="B43" s="35" t="n"/>
      <c r="C43" s="35" t="n"/>
      <c r="D43" s="35" t="n"/>
      <c r="E43" s="35" t="n"/>
      <c r="F43" s="35" t="n"/>
      <c r="G43" s="35" t="n"/>
      <c r="H43" s="36" t="n"/>
    </row>
    <row r="44" ht="31" customHeight="1">
      <c r="A44" s="2" t="inlineStr">
        <is>
          <t>Sheet 1</t>
        </is>
      </c>
      <c r="B44" s="2" t="inlineStr">
        <is>
          <t>模型总览与设计逻辑</t>
        </is>
      </c>
      <c r="C44" s="37" t="inlineStr">
        <is>
          <t>本页</t>
        </is>
      </c>
      <c r="D44" s="35" t="n"/>
      <c r="E44" s="35" t="n"/>
      <c r="F44" s="35" t="n"/>
      <c r="G44" s="35" t="n"/>
      <c r="H44" s="36" t="n"/>
    </row>
    <row r="45" ht="17" customHeight="1">
      <c r="A45" s="2" t="inlineStr">
        <is>
          <t>Sheet 2</t>
        </is>
      </c>
      <c r="B45" s="2" t="inlineStr">
        <is>
          <t>积极情景</t>
        </is>
      </c>
      <c r="C45" s="37" t="inlineStr">
        <is>
          <t>NZE/1.5C路线图</t>
        </is>
      </c>
      <c r="D45" s="35" t="n"/>
      <c r="E45" s="35" t="n"/>
      <c r="F45" s="35" t="n"/>
      <c r="G45" s="35" t="n"/>
      <c r="H45" s="36" t="n"/>
    </row>
    <row r="46" ht="17" customHeight="1">
      <c r="A46" s="2" t="inlineStr">
        <is>
          <t>Sheet 3</t>
        </is>
      </c>
      <c r="B46" s="2" t="inlineStr">
        <is>
          <t>适度情景</t>
        </is>
      </c>
      <c r="C46" s="37" t="inlineStr">
        <is>
          <t>CGE 2C(推荐对标)</t>
        </is>
      </c>
      <c r="D46" s="35" t="n"/>
      <c r="E46" s="35" t="n"/>
      <c r="F46" s="35" t="n"/>
      <c r="G46" s="35" t="n"/>
      <c r="H46" s="36" t="n"/>
    </row>
    <row r="47" ht="17" customHeight="1">
      <c r="A47" s="2" t="inlineStr">
        <is>
          <t>Sheet 4</t>
        </is>
      </c>
      <c r="B47" s="2" t="inlineStr">
        <is>
          <t>保守情景</t>
        </is>
      </c>
      <c r="C47" s="37" t="inlineStr">
        <is>
          <t>NDC政策承诺</t>
        </is>
      </c>
      <c r="D47" s="35" t="n"/>
      <c r="E47" s="35" t="n"/>
      <c r="F47" s="35" t="n"/>
      <c r="G47" s="35" t="n"/>
      <c r="H47" s="36" t="n"/>
    </row>
    <row r="48" ht="17" customHeight="1">
      <c r="A48" s="2" t="inlineStr">
        <is>
          <t>Sheet 5</t>
        </is>
      </c>
      <c r="B48" s="2" t="inlineStr">
        <is>
          <t>汇总对比与可视化</t>
        </is>
      </c>
      <c r="C48" s="37" t="inlineStr">
        <is>
          <t>三情景对比+图表</t>
        </is>
      </c>
      <c r="D48" s="35" t="n"/>
      <c r="E48" s="35" t="n"/>
      <c r="F48" s="35" t="n"/>
      <c r="G48" s="35" t="n"/>
      <c r="H48" s="36" t="n"/>
    </row>
    <row r="49" ht="17" customHeight="1">
      <c r="A49" s="2" t="inlineStr">
        <is>
          <t>Sheet 6</t>
        </is>
      </c>
      <c r="B49" s="2" t="inlineStr">
        <is>
          <t>金融机构(组合)</t>
        </is>
      </c>
      <c r="C49" s="37" t="inlineStr">
        <is>
          <t>银行总行资产组合对标</t>
        </is>
      </c>
      <c r="D49" s="35" t="n"/>
      <c r="E49" s="35" t="n"/>
      <c r="F49" s="35" t="n"/>
      <c r="G49" s="35" t="n"/>
      <c r="H49" s="36" t="n"/>
    </row>
    <row r="50" ht="17" customHeight="1">
      <c r="A50" s="2" t="inlineStr">
        <is>
          <t>Sheet 7</t>
        </is>
      </c>
      <c r="B50" s="2" t="inlineStr">
        <is>
          <t>金融机构(企业)</t>
        </is>
      </c>
      <c r="C50" s="37" t="inlineStr">
        <is>
          <t>龙头企业目标对标</t>
        </is>
      </c>
      <c r="D50" s="35" t="n"/>
      <c r="E50" s="35" t="n"/>
      <c r="F50" s="35" t="n"/>
      <c r="G50" s="35" t="n"/>
      <c r="H50" s="36" t="n"/>
    </row>
  </sheetData>
  <mergeCells count="24">
    <mergeCell ref="A9:H9"/>
    <mergeCell ref="C47:H47"/>
    <mergeCell ref="C50:H50"/>
    <mergeCell ref="A15:H15"/>
    <mergeCell ref="C44:H44"/>
    <mergeCell ref="A11:H11"/>
    <mergeCell ref="A1:H1"/>
    <mergeCell ref="A6:H6"/>
    <mergeCell ref="C46:H46"/>
    <mergeCell ref="A7:H7"/>
    <mergeCell ref="A16:H16"/>
    <mergeCell ref="C48:H48"/>
    <mergeCell ref="A27:H27"/>
    <mergeCell ref="A12:H12"/>
    <mergeCell ref="A2:H2"/>
    <mergeCell ref="A14:H14"/>
    <mergeCell ref="C49:H49"/>
    <mergeCell ref="A5:H5"/>
    <mergeCell ref="A17:H17"/>
    <mergeCell ref="A4:H4"/>
    <mergeCell ref="A43:H43"/>
    <mergeCell ref="A10:H10"/>
    <mergeCell ref="C45:H45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48235"/>
    <outlinePr summaryBelow="1" summaryRight="1"/>
    <pageSetUpPr/>
  </sheetPr>
  <dimension ref="A1:AQ65"/>
  <sheetViews>
    <sheetView workbookViewId="0">
      <selection activeCell="A12" sqref="A12:AM12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积极情景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93000</v>
      </c>
      <c r="F13" s="18" t="n">
        <v>91000</v>
      </c>
      <c r="G13" s="18" t="n">
        <v>89000</v>
      </c>
      <c r="H13" s="18" t="n">
        <v>87000</v>
      </c>
      <c r="I13" s="18" t="n">
        <v>85000</v>
      </c>
      <c r="J13" s="18" t="n">
        <v>83500</v>
      </c>
      <c r="K13" s="18" t="n">
        <v>82000</v>
      </c>
      <c r="L13" s="18" t="n">
        <v>80800</v>
      </c>
      <c r="M13" s="18" t="n">
        <v>79600</v>
      </c>
      <c r="N13" s="18" t="n">
        <v>78500</v>
      </c>
      <c r="O13" s="18" t="n">
        <v>77500</v>
      </c>
      <c r="P13" s="18" t="n">
        <v>76500</v>
      </c>
      <c r="Q13" s="18" t="n">
        <v>75500</v>
      </c>
      <c r="R13" s="18" t="n">
        <v>74500</v>
      </c>
      <c r="S13" s="18" t="n">
        <v>73600</v>
      </c>
      <c r="T13" s="18" t="n">
        <v>72800</v>
      </c>
      <c r="U13" s="18" t="n">
        <v>72000</v>
      </c>
      <c r="V13" s="18" t="n">
        <v>71300</v>
      </c>
      <c r="W13" s="18" t="n">
        <v>70600</v>
      </c>
      <c r="X13" s="18" t="n">
        <v>69900</v>
      </c>
      <c r="Y13" s="18" t="n">
        <v>69300</v>
      </c>
      <c r="Z13" s="18" t="n">
        <v>68700</v>
      </c>
      <c r="AA13" s="18" t="n">
        <v>68200</v>
      </c>
      <c r="AB13" s="18" t="n">
        <v>67700</v>
      </c>
      <c r="AC13" s="18" t="n">
        <v>67200</v>
      </c>
      <c r="AD13" s="18" t="n">
        <v>66600</v>
      </c>
      <c r="AE13" s="18" t="n">
        <v>66000</v>
      </c>
      <c r="AF13" s="18" t="n">
        <v>65400</v>
      </c>
      <c r="AG13" s="18" t="n">
        <v>64800</v>
      </c>
      <c r="AH13" s="18" t="n">
        <v>64200</v>
      </c>
      <c r="AI13" s="18" t="n">
        <v>63600</v>
      </c>
      <c r="AJ13" s="18" t="n">
        <v>63000</v>
      </c>
      <c r="AK13" s="18" t="n">
        <v>62500</v>
      </c>
      <c r="AL13" s="18" t="n">
        <v>62000</v>
      </c>
      <c r="AM13" s="18" t="n">
        <v>61600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10.37453269324259</v>
      </c>
      <c r="E15" s="42" t="n">
        <v>10.63843616917842</v>
      </c>
      <c r="F15" s="42" t="n">
        <v>10.83707253281478</v>
      </c>
      <c r="G15" s="42" t="n">
        <v>11.01580388915897</v>
      </c>
      <c r="H15" s="42" t="n">
        <v>11.21999234321828</v>
      </c>
      <c r="I15" s="42" t="n">
        <v>11.495</v>
      </c>
      <c r="J15" s="42" t="n">
        <v>11.88618896451143</v>
      </c>
      <c r="K15" s="42" t="n">
        <v>12.43892134175984</v>
      </c>
      <c r="L15" s="42" t="n">
        <v>13.19855923675255</v>
      </c>
      <c r="M15" s="42" t="n">
        <v>14.21046475449684</v>
      </c>
      <c r="N15" s="42" t="n">
        <v>15.52</v>
      </c>
      <c r="O15" s="42" t="n">
        <v>17.15544871171609</v>
      </c>
      <c r="P15" s="42" t="n">
        <v>19.07678116188624</v>
      </c>
      <c r="Q15" s="42" t="n">
        <v>21.22688925619834</v>
      </c>
      <c r="R15" s="42" t="n">
        <v>23.5486649003403</v>
      </c>
      <c r="S15" s="42" t="n">
        <v>25.985</v>
      </c>
      <c r="T15" s="42" t="n">
        <v>28.48414612056392</v>
      </c>
      <c r="U15" s="42" t="n">
        <v>31.01579346621293</v>
      </c>
      <c r="V15" s="42" t="n">
        <v>33.55499190082644</v>
      </c>
      <c r="W15" s="42" t="n">
        <v>36.0767912882839</v>
      </c>
      <c r="X15" s="42" t="n">
        <v>38.55624149246475</v>
      </c>
      <c r="Y15" s="42" t="n">
        <v>40.96839237724842</v>
      </c>
      <c r="Z15" s="42" t="n">
        <v>43.28829380651434</v>
      </c>
      <c r="AA15" s="42" t="n">
        <v>45.49099564414195</v>
      </c>
      <c r="AB15" s="42" t="n">
        <v>47.55154775401068</v>
      </c>
      <c r="AC15" s="42" t="n">
        <v>49.44499999999999</v>
      </c>
      <c r="AD15" s="42" t="n">
        <v>51.14640224598931</v>
      </c>
      <c r="AE15" s="42" t="n">
        <v>52.63080435585804</v>
      </c>
      <c r="AF15" s="42" t="n">
        <v>53.7</v>
      </c>
      <c r="AG15" s="42" t="n">
        <v>53.7</v>
      </c>
      <c r="AH15" s="42" t="n">
        <v>53.7</v>
      </c>
      <c r="AI15" s="42" t="n">
        <v>53.7</v>
      </c>
      <c r="AJ15" s="42" t="n">
        <v>53.7</v>
      </c>
      <c r="AK15" s="42" t="n">
        <v>53.7</v>
      </c>
      <c r="AL15" s="42" t="n">
        <v>53.7</v>
      </c>
      <c r="AM15" s="42" t="n">
        <v>53.7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1.206105979581916</v>
      </c>
      <c r="E16" s="17" t="n">
        <v>1.346538065143413</v>
      </c>
      <c r="F16" s="17" t="n">
        <v>1.444719883325231</v>
      </c>
      <c r="G16" s="17" t="n">
        <v>1.524075060768109</v>
      </c>
      <c r="H16" s="17" t="n">
        <v>1.608027224112785</v>
      </c>
      <c r="I16" s="17" t="n">
        <v>1.72</v>
      </c>
      <c r="J16" s="17" t="n">
        <v>1.883417015070491</v>
      </c>
      <c r="K16" s="17" t="n">
        <v>2.121701895964998</v>
      </c>
      <c r="L16" s="17" t="n">
        <v>2.458278269324259</v>
      </c>
      <c r="M16" s="17" t="n">
        <v>2.916569761789013</v>
      </c>
      <c r="N16" s="17" t="n">
        <v>3.52</v>
      </c>
      <c r="O16" s="17" t="n">
        <v>4.283240136120565</v>
      </c>
      <c r="P16" s="17" t="n">
        <v>5.185951424404472</v>
      </c>
      <c r="Q16" s="17" t="n">
        <v>6.199042644628098</v>
      </c>
      <c r="R16" s="17" t="n">
        <v>7.293422576567816</v>
      </c>
      <c r="S16" s="17" t="n">
        <v>8.44</v>
      </c>
      <c r="T16" s="17" t="n">
        <v>9.61266712688381</v>
      </c>
      <c r="U16" s="17" t="n">
        <v>10.79724989790958</v>
      </c>
      <c r="V16" s="17" t="n">
        <v>11.98255768595041</v>
      </c>
      <c r="W16" s="17" t="n">
        <v>13.15739986387944</v>
      </c>
      <c r="X16" s="17" t="n">
        <v>14.31058580456976</v>
      </c>
      <c r="Y16" s="17" t="n">
        <v>15.4309248808945</v>
      </c>
      <c r="Z16" s="17" t="n">
        <v>16.50722646572678</v>
      </c>
      <c r="AA16" s="17" t="n">
        <v>17.52829993193972</v>
      </c>
      <c r="AB16" s="17" t="n">
        <v>18.48295465240642</v>
      </c>
      <c r="AC16" s="17" t="n">
        <v>19.36</v>
      </c>
      <c r="AD16" s="17" t="n">
        <v>20</v>
      </c>
      <c r="AE16" s="17" t="n">
        <v>20</v>
      </c>
      <c r="AF16" s="17" t="n">
        <v>20</v>
      </c>
      <c r="AG16" s="17" t="n">
        <v>20</v>
      </c>
      <c r="AH16" s="17" t="n">
        <v>20</v>
      </c>
      <c r="AI16" s="17" t="n">
        <v>20</v>
      </c>
      <c r="AJ16" s="17" t="n">
        <v>20</v>
      </c>
      <c r="AK16" s="17" t="n">
        <v>20</v>
      </c>
      <c r="AL16" s="17" t="n">
        <v>20</v>
      </c>
      <c r="AM16" s="17" t="n">
        <v>20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长流程产量(万吨)</t>
        </is>
      </c>
      <c r="B18" s="7">
        <f>长流程产量公式</f>
        <v/>
      </c>
      <c r="C18" s="20">
        <f>C13*C17</f>
        <v/>
      </c>
      <c r="D18" s="20">
        <f>D13*D17</f>
        <v/>
      </c>
      <c r="E18" s="20">
        <f>E13*E17</f>
        <v/>
      </c>
      <c r="F18" s="20">
        <f>F13*F17</f>
        <v/>
      </c>
      <c r="G18" s="20">
        <f>G13*G17</f>
        <v/>
      </c>
      <c r="H18" s="20">
        <f>H13*H17</f>
        <v/>
      </c>
      <c r="I18" s="20">
        <f>I13*I17</f>
        <v/>
      </c>
      <c r="J18" s="20">
        <f>J13*J17</f>
        <v/>
      </c>
      <c r="K18" s="20">
        <f>K13*K17</f>
        <v/>
      </c>
      <c r="L18" s="20">
        <f>L13*L17</f>
        <v/>
      </c>
      <c r="M18" s="20">
        <f>M13*M17</f>
        <v/>
      </c>
      <c r="N18" s="20">
        <f>N13*N17</f>
        <v/>
      </c>
      <c r="O18" s="20">
        <f>O13*O17</f>
        <v/>
      </c>
      <c r="P18" s="20">
        <f>P13*P17</f>
        <v/>
      </c>
      <c r="Q18" s="20">
        <f>Q13*Q17</f>
        <v/>
      </c>
      <c r="R18" s="20">
        <f>R13*R17</f>
        <v/>
      </c>
      <c r="S18" s="20">
        <f>S13*S17</f>
        <v/>
      </c>
      <c r="T18" s="20">
        <f>T13*T17</f>
        <v/>
      </c>
      <c r="U18" s="20">
        <f>U13*U17</f>
        <v/>
      </c>
      <c r="V18" s="20">
        <f>V13*V17</f>
        <v/>
      </c>
      <c r="W18" s="20">
        <f>W13*W17</f>
        <v/>
      </c>
      <c r="X18" s="20">
        <f>X13*X17</f>
        <v/>
      </c>
      <c r="Y18" s="20">
        <f>Y13*Y17</f>
        <v/>
      </c>
      <c r="Z18" s="20">
        <f>Z13*Z17</f>
        <v/>
      </c>
      <c r="AA18" s="20">
        <f>AA13*AA17</f>
        <v/>
      </c>
      <c r="AB18" s="20">
        <f>AB13*AB17</f>
        <v/>
      </c>
      <c r="AC18" s="20">
        <f>AC13*AC17</f>
        <v/>
      </c>
      <c r="AD18" s="20">
        <f>AD13*AD17</f>
        <v/>
      </c>
      <c r="AE18" s="20">
        <f>AE13*AE17</f>
        <v/>
      </c>
      <c r="AF18" s="20">
        <f>AF13*AF17</f>
        <v/>
      </c>
      <c r="AG18" s="20">
        <f>AG13*AG17</f>
        <v/>
      </c>
      <c r="AH18" s="20">
        <f>AH13*AH17</f>
        <v/>
      </c>
      <c r="AI18" s="20">
        <f>AI13*AI17</f>
        <v/>
      </c>
      <c r="AJ18" s="20">
        <f>AJ13*AJ17</f>
        <v/>
      </c>
      <c r="AK18" s="20">
        <f>AK13*AK17</f>
        <v/>
      </c>
      <c r="AL18" s="20">
        <f>AL13*AL17</f>
        <v/>
      </c>
      <c r="AM18" s="20">
        <f>AM13*AM17</f>
        <v/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短流程产量(万吨)</t>
        </is>
      </c>
      <c r="B19" s="7">
        <f>短流程产量公式</f>
        <v/>
      </c>
      <c r="C19" s="20">
        <f>C13*C15/100</f>
        <v/>
      </c>
      <c r="D19" s="20">
        <f>D13*D15/100</f>
        <v/>
      </c>
      <c r="E19" s="20">
        <f>E13*E15/100</f>
        <v/>
      </c>
      <c r="F19" s="20">
        <f>F13*F15/100</f>
        <v/>
      </c>
      <c r="G19" s="20">
        <f>G13*G15/100</f>
        <v/>
      </c>
      <c r="H19" s="20">
        <f>H13*H15/100</f>
        <v/>
      </c>
      <c r="I19" s="20">
        <f>I13*I15/100</f>
        <v/>
      </c>
      <c r="J19" s="20">
        <f>J13*J15/100</f>
        <v/>
      </c>
      <c r="K19" s="20">
        <f>K13*K15/100</f>
        <v/>
      </c>
      <c r="L19" s="20">
        <f>L13*L15/100</f>
        <v/>
      </c>
      <c r="M19" s="20">
        <f>M13*M15/100</f>
        <v/>
      </c>
      <c r="N19" s="20">
        <f>N13*N15/100</f>
        <v/>
      </c>
      <c r="O19" s="20">
        <f>O13*O15/100</f>
        <v/>
      </c>
      <c r="P19" s="20">
        <f>P13*P15/100</f>
        <v/>
      </c>
      <c r="Q19" s="20">
        <f>Q13*Q15/100</f>
        <v/>
      </c>
      <c r="R19" s="20">
        <f>R13*R15/100</f>
        <v/>
      </c>
      <c r="S19" s="20">
        <f>S13*S15/100</f>
        <v/>
      </c>
      <c r="T19" s="20">
        <f>T13*T15/100</f>
        <v/>
      </c>
      <c r="U19" s="20">
        <f>U13*U15/100</f>
        <v/>
      </c>
      <c r="V19" s="20">
        <f>V13*V15/100</f>
        <v/>
      </c>
      <c r="W19" s="20">
        <f>W13*W15/100</f>
        <v/>
      </c>
      <c r="X19" s="20">
        <f>X13*X15/100</f>
        <v/>
      </c>
      <c r="Y19" s="20">
        <f>Y13*Y15/100</f>
        <v/>
      </c>
      <c r="Z19" s="20">
        <f>Z13*Z15/100</f>
        <v/>
      </c>
      <c r="AA19" s="20">
        <f>AA13*AA15/100</f>
        <v/>
      </c>
      <c r="AB19" s="20">
        <f>AB13*AB15/100</f>
        <v/>
      </c>
      <c r="AC19" s="20">
        <f>AC13*AC15/100</f>
        <v/>
      </c>
      <c r="AD19" s="20">
        <f>AD13*AD15/100</f>
        <v/>
      </c>
      <c r="AE19" s="20">
        <f>AE13*AE15/100</f>
        <v/>
      </c>
      <c r="AF19" s="20">
        <f>AF13*AF15/100</f>
        <v/>
      </c>
      <c r="AG19" s="20">
        <f>AG13*AG15/100</f>
        <v/>
      </c>
      <c r="AH19" s="20">
        <f>AH13*AH15/100</f>
        <v/>
      </c>
      <c r="AI19" s="20">
        <f>AI13*AI15/100</f>
        <v/>
      </c>
      <c r="AJ19" s="20">
        <f>AJ13*AJ15/100</f>
        <v/>
      </c>
      <c r="AK19" s="20">
        <f>AK13*AK15/100</f>
        <v/>
      </c>
      <c r="AL19" s="20">
        <f>AL13*AL15/100</f>
        <v/>
      </c>
      <c r="AM19" s="20">
        <f>AM13*AM15/100</f>
        <v/>
      </c>
    </row>
    <row r="20" ht="17" customHeight="1">
      <c r="A20" s="2" t="inlineStr">
        <is>
          <t>氢冶金产量(万吨)</t>
        </is>
      </c>
      <c r="B20" s="7">
        <f>氢冶金产量公式</f>
        <v/>
      </c>
      <c r="C20" s="20">
        <f>C13*C16/100</f>
        <v/>
      </c>
      <c r="D20" s="20">
        <f>D13*D16/100</f>
        <v/>
      </c>
      <c r="E20" s="20">
        <f>E13*E16/100</f>
        <v/>
      </c>
      <c r="F20" s="20">
        <f>F13*F16/100</f>
        <v/>
      </c>
      <c r="G20" s="20">
        <f>G13*G16/100</f>
        <v/>
      </c>
      <c r="H20" s="20">
        <f>H13*H16/100</f>
        <v/>
      </c>
      <c r="I20" s="20">
        <f>I13*I16/100</f>
        <v/>
      </c>
      <c r="J20" s="20">
        <f>J13*J16/100</f>
        <v/>
      </c>
      <c r="K20" s="20">
        <f>K13*K16/100</f>
        <v/>
      </c>
      <c r="L20" s="20">
        <f>L13*L16/100</f>
        <v/>
      </c>
      <c r="M20" s="20">
        <f>M13*M16/100</f>
        <v/>
      </c>
      <c r="N20" s="20">
        <f>N13*N16/100</f>
        <v/>
      </c>
      <c r="O20" s="20">
        <f>O13*O16/100</f>
        <v/>
      </c>
      <c r="P20" s="20">
        <f>P13*P16/100</f>
        <v/>
      </c>
      <c r="Q20" s="20">
        <f>Q13*Q16/100</f>
        <v/>
      </c>
      <c r="R20" s="20">
        <f>R13*R16/100</f>
        <v/>
      </c>
      <c r="S20" s="20">
        <f>S13*S16/100</f>
        <v/>
      </c>
      <c r="T20" s="20">
        <f>T13*T16/100</f>
        <v/>
      </c>
      <c r="U20" s="20">
        <f>U13*U16/100</f>
        <v/>
      </c>
      <c r="V20" s="20">
        <f>V13*V16/100</f>
        <v/>
      </c>
      <c r="W20" s="20">
        <f>W13*W16/100</f>
        <v/>
      </c>
      <c r="X20" s="20">
        <f>X13*X16/100</f>
        <v/>
      </c>
      <c r="Y20" s="20">
        <f>Y13*Y16/100</f>
        <v/>
      </c>
      <c r="Z20" s="20">
        <f>Z13*Z16/100</f>
        <v/>
      </c>
      <c r="AA20" s="20">
        <f>AA13*AA16/100</f>
        <v/>
      </c>
      <c r="AB20" s="20">
        <f>AB13*AB16/100</f>
        <v/>
      </c>
      <c r="AC20" s="20">
        <f>AC13*AC16/100</f>
        <v/>
      </c>
      <c r="AD20" s="20">
        <f>AD13*AD16/100</f>
        <v/>
      </c>
      <c r="AE20" s="20">
        <f>AE13*AE16/100</f>
        <v/>
      </c>
      <c r="AF20" s="20">
        <f>AF13*AF16/100</f>
        <v/>
      </c>
      <c r="AG20" s="20">
        <f>AG13*AG16/100</f>
        <v/>
      </c>
      <c r="AH20" s="20">
        <f>AH13*AH16/100</f>
        <v/>
      </c>
      <c r="AI20" s="20">
        <f>AI13*AI16/100</f>
        <v/>
      </c>
      <c r="AJ20" s="20">
        <f>AJ13*AJ16/100</f>
        <v/>
      </c>
      <c r="AK20" s="20">
        <f>AK13*AK16/100</f>
        <v/>
      </c>
      <c r="AL20" s="20">
        <f>AL13*AL16/100</f>
        <v/>
      </c>
      <c r="AM20" s="20">
        <f>AM13*AM16/100</f>
        <v/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28820</v>
      </c>
      <c r="D22" s="21" t="n">
        <v>28219</v>
      </c>
      <c r="E22" s="21" t="n">
        <v>29961</v>
      </c>
      <c r="F22" s="21" t="n">
        <v>29382</v>
      </c>
      <c r="G22" s="21" t="n">
        <v>29386</v>
      </c>
      <c r="H22" s="21" t="n">
        <v>28778</v>
      </c>
      <c r="I22" s="21" t="n">
        <v>32732</v>
      </c>
      <c r="J22" s="21" t="n">
        <v>34435</v>
      </c>
      <c r="K22" s="21" t="n">
        <v>36658</v>
      </c>
      <c r="L22" s="21" t="n">
        <v>37830</v>
      </c>
      <c r="M22" s="21" t="n">
        <v>40503</v>
      </c>
      <c r="N22" s="21" t="n">
        <v>41237</v>
      </c>
      <c r="O22" s="21" t="n">
        <v>39624</v>
      </c>
      <c r="P22" s="21" t="n">
        <v>40341</v>
      </c>
      <c r="Q22" s="21" t="n">
        <v>43408</v>
      </c>
      <c r="R22" s="21" t="n">
        <v>48723</v>
      </c>
      <c r="S22" s="21" t="n">
        <v>49139</v>
      </c>
      <c r="T22" s="21" t="n">
        <v>53056</v>
      </c>
      <c r="U22" s="21" t="n">
        <v>53442</v>
      </c>
      <c r="V22" s="21" t="n">
        <v>57694</v>
      </c>
      <c r="W22" s="21" t="n">
        <v>56770</v>
      </c>
      <c r="X22" s="21" t="n">
        <v>57761</v>
      </c>
      <c r="Y22" s="21" t="n">
        <v>58218</v>
      </c>
      <c r="Z22" s="21" t="n">
        <v>58413</v>
      </c>
      <c r="AA22" s="21" t="n">
        <v>58398</v>
      </c>
      <c r="AB22" s="21" t="n">
        <v>58423</v>
      </c>
      <c r="AC22" s="21" t="n">
        <v>58294</v>
      </c>
      <c r="AD22" s="21" t="n">
        <v>57964</v>
      </c>
      <c r="AE22" s="21" t="n">
        <v>57618</v>
      </c>
      <c r="AF22" s="21" t="n">
        <v>58042</v>
      </c>
      <c r="AG22" s="21" t="n">
        <v>57652</v>
      </c>
      <c r="AH22" s="21" t="n">
        <v>58167</v>
      </c>
      <c r="AI22" s="21" t="n">
        <v>56985</v>
      </c>
      <c r="AJ22" s="21" t="n">
        <v>55820</v>
      </c>
      <c r="AK22" s="21" t="n">
        <v>54753</v>
      </c>
      <c r="AL22" s="21" t="n">
        <v>53677</v>
      </c>
      <c r="AM22" s="21" t="n">
        <v>52611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C18*0.3</f>
        <v/>
      </c>
      <c r="D23" s="20">
        <f>D18*0.3</f>
        <v/>
      </c>
      <c r="E23" s="20">
        <f>E18*0.3</f>
        <v/>
      </c>
      <c r="F23" s="20">
        <f>F18*0.3</f>
        <v/>
      </c>
      <c r="G23" s="20">
        <f>G18*0.3</f>
        <v/>
      </c>
      <c r="H23" s="20">
        <f>H18*0.3</f>
        <v/>
      </c>
      <c r="I23" s="20">
        <f>I18*0.3</f>
        <v/>
      </c>
      <c r="J23" s="20">
        <f>J18*0.3</f>
        <v/>
      </c>
      <c r="K23" s="20">
        <f>K18*0.3</f>
        <v/>
      </c>
      <c r="L23" s="20">
        <f>L18*0.3</f>
        <v/>
      </c>
      <c r="M23" s="20">
        <f>M18*0.3</f>
        <v/>
      </c>
      <c r="N23" s="20">
        <f>N18*0.3</f>
        <v/>
      </c>
      <c r="O23" s="20">
        <f>O18*0.3</f>
        <v/>
      </c>
      <c r="P23" s="20">
        <f>P18*0.3</f>
        <v/>
      </c>
      <c r="Q23" s="20">
        <f>Q18*0.3</f>
        <v/>
      </c>
      <c r="R23" s="20">
        <f>R18*0.3</f>
        <v/>
      </c>
      <c r="S23" s="20">
        <f>S18*0.3</f>
        <v/>
      </c>
      <c r="T23" s="20">
        <f>T18*0.3</f>
        <v/>
      </c>
      <c r="U23" s="20">
        <f>U18*0.3</f>
        <v/>
      </c>
      <c r="V23" s="20">
        <f>V18*0.3</f>
        <v/>
      </c>
      <c r="W23" s="20">
        <f>W18*0.3</f>
        <v/>
      </c>
      <c r="X23" s="20">
        <f>X18*0.3</f>
        <v/>
      </c>
      <c r="Y23" s="20">
        <f>Y18*0.3</f>
        <v/>
      </c>
      <c r="Z23" s="20">
        <f>Z18*0.3</f>
        <v/>
      </c>
      <c r="AA23" s="20">
        <f>AA18*0.3</f>
        <v/>
      </c>
      <c r="AB23" s="20">
        <f>AB18*0.3</f>
        <v/>
      </c>
      <c r="AC23" s="20">
        <f>AC18*0.3</f>
        <v/>
      </c>
      <c r="AD23" s="20">
        <f>AD18*0.3</f>
        <v/>
      </c>
      <c r="AE23" s="20">
        <f>AE18*0.3</f>
        <v/>
      </c>
      <c r="AF23" s="20">
        <f>AF18*0.3</f>
        <v/>
      </c>
      <c r="AG23" s="20">
        <f>AG18*0.3</f>
        <v/>
      </c>
      <c r="AH23" s="20">
        <f>AH18*0.3</f>
        <v/>
      </c>
      <c r="AI23" s="20">
        <f>AI18*0.3</f>
        <v/>
      </c>
      <c r="AJ23" s="20">
        <f>AJ18*0.3</f>
        <v/>
      </c>
      <c r="AK23" s="20">
        <f>AK18*0.3</f>
        <v/>
      </c>
      <c r="AL23" s="20">
        <f>AL18*0.3</f>
        <v/>
      </c>
      <c r="AM23" s="20">
        <f>AM18*0.3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inlineStr">
        <is>
          <t>长流程矿石消耗量(万吨)</t>
        </is>
      </c>
      <c r="B24" s="7" t="inlineStr">
        <is>
          <t>铁素资源公式</t>
        </is>
      </c>
      <c r="C24" s="20">
        <f>(C18-C23/1.1)*1.053*1.65</f>
        <v/>
      </c>
      <c r="D24" s="20">
        <f>(D18-D23/1.1)*1.053*1.65</f>
        <v/>
      </c>
      <c r="E24" s="20">
        <f>(E18-E23/1.1)*1.053*1.65</f>
        <v/>
      </c>
      <c r="F24" s="20">
        <f>(F18-F23/1.1)*1.053*1.65</f>
        <v/>
      </c>
      <c r="G24" s="20">
        <f>(G18-G23/1.1)*1.053*1.65</f>
        <v/>
      </c>
      <c r="H24" s="20">
        <f>(H18-H23/1.1)*1.053*1.65</f>
        <v/>
      </c>
      <c r="I24" s="20">
        <f>(I18-I23/1.1)*1.053*1.65</f>
        <v/>
      </c>
      <c r="J24" s="20">
        <f>(J18-J23/1.1)*1.053*1.65</f>
        <v/>
      </c>
      <c r="K24" s="20">
        <f>(K18-K23/1.1)*1.053*1.65</f>
        <v/>
      </c>
      <c r="L24" s="20">
        <f>(L18-L23/1.1)*1.053*1.65</f>
        <v/>
      </c>
      <c r="M24" s="20">
        <f>(M18-M23/1.1)*1.053*1.65</f>
        <v/>
      </c>
      <c r="N24" s="20">
        <f>(N18-N23/1.1)*1.053*1.65</f>
        <v/>
      </c>
      <c r="O24" s="20">
        <f>(O18-O23/1.1)*1.053*1.65</f>
        <v/>
      </c>
      <c r="P24" s="20">
        <f>(P18-P23/1.1)*1.053*1.65</f>
        <v/>
      </c>
      <c r="Q24" s="20">
        <f>(Q18-Q23/1.1)*1.053*1.65</f>
        <v/>
      </c>
      <c r="R24" s="20">
        <f>(R18-R23/1.1)*1.053*1.65</f>
        <v/>
      </c>
      <c r="S24" s="20">
        <f>(S18-S23/1.1)*1.053*1.65</f>
        <v/>
      </c>
      <c r="T24" s="20">
        <f>(T18-T23/1.1)*1.053*1.65</f>
        <v/>
      </c>
      <c r="U24" s="20">
        <f>(U18-U23/1.1)*1.053*1.65</f>
        <v/>
      </c>
      <c r="V24" s="20">
        <f>(V18-V23/1.1)*1.053*1.65</f>
        <v/>
      </c>
      <c r="W24" s="20">
        <f>(W18-W23/1.1)*1.053*1.65</f>
        <v/>
      </c>
      <c r="X24" s="20">
        <f>(X18-X23/1.1)*1.053*1.65</f>
        <v/>
      </c>
      <c r="Y24" s="20">
        <f>(Y18-Y23/1.1)*1.053*1.65</f>
        <v/>
      </c>
      <c r="Z24" s="20">
        <f>(Z18-Z23/1.1)*1.053*1.65</f>
        <v/>
      </c>
      <c r="AA24" s="20">
        <f>(AA18-AA23/1.1)*1.053*1.65</f>
        <v/>
      </c>
      <c r="AB24" s="20">
        <f>(AB18-AB23/1.1)*1.053*1.65</f>
        <v/>
      </c>
      <c r="AC24" s="20">
        <f>(AC18-AC23/1.1)*1.053*1.65</f>
        <v/>
      </c>
      <c r="AD24" s="20">
        <f>(AD18-AD23/1.1)*1.053*1.65</f>
        <v/>
      </c>
      <c r="AE24" s="20">
        <f>(AE18-AE23/1.1)*1.053*1.65</f>
        <v/>
      </c>
      <c r="AF24" s="20">
        <f>(AF18-AF23/1.1)*1.053*1.65</f>
        <v/>
      </c>
      <c r="AG24" s="20">
        <f>(AG18-AG23/1.1)*1.053*1.65</f>
        <v/>
      </c>
      <c r="AH24" s="20">
        <f>(AH18-AH23/1.1)*1.053*1.65</f>
        <v/>
      </c>
      <c r="AI24" s="20">
        <f>(AI18-AI23/1.1)*1.053*1.65</f>
        <v/>
      </c>
      <c r="AJ24" s="20">
        <f>(AJ18-AJ23/1.1)*1.053*1.65</f>
        <v/>
      </c>
      <c r="AK24" s="20">
        <f>(AK18-AK23/1.1)*1.053*1.65</f>
        <v/>
      </c>
      <c r="AL24" s="20">
        <f>(AL18-AL23/1.1)*1.053*1.65</f>
        <v/>
      </c>
      <c r="AM24" s="20">
        <f>(AM18-AM23/1.1)*1.053*1.65</f>
        <v/>
      </c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C19*1.1</f>
        <v/>
      </c>
      <c r="D25" s="20">
        <f>D19*1.1</f>
        <v/>
      </c>
      <c r="E25" s="20">
        <f>E19*1.1</f>
        <v/>
      </c>
      <c r="F25" s="20">
        <f>F19*1.1</f>
        <v/>
      </c>
      <c r="G25" s="20">
        <f>G19*1.1</f>
        <v/>
      </c>
      <c r="H25" s="20">
        <f>H19*1.1</f>
        <v/>
      </c>
      <c r="I25" s="20">
        <f>I19*1.1</f>
        <v/>
      </c>
      <c r="J25" s="20">
        <f>J19*1.1</f>
        <v/>
      </c>
      <c r="K25" s="20">
        <f>K19*1.1</f>
        <v/>
      </c>
      <c r="L25" s="20">
        <f>L19*1.1</f>
        <v/>
      </c>
      <c r="M25" s="20">
        <f>M19*1.1</f>
        <v/>
      </c>
      <c r="N25" s="20">
        <f>N19*1.1</f>
        <v/>
      </c>
      <c r="O25" s="20">
        <f>O19*1.1</f>
        <v/>
      </c>
      <c r="P25" s="20">
        <f>P19*1.1</f>
        <v/>
      </c>
      <c r="Q25" s="20">
        <f>Q19*1.1</f>
        <v/>
      </c>
      <c r="R25" s="20">
        <f>R19*1.1</f>
        <v/>
      </c>
      <c r="S25" s="20">
        <f>S19*1.1</f>
        <v/>
      </c>
      <c r="T25" s="20">
        <f>T19*1.1</f>
        <v/>
      </c>
      <c r="U25" s="20">
        <f>U19*1.1</f>
        <v/>
      </c>
      <c r="V25" s="20">
        <f>V19*1.1</f>
        <v/>
      </c>
      <c r="W25" s="20">
        <f>W19*1.1</f>
        <v/>
      </c>
      <c r="X25" s="20">
        <f>X19*1.1</f>
        <v/>
      </c>
      <c r="Y25" s="20">
        <f>Y19*1.1</f>
        <v/>
      </c>
      <c r="Z25" s="20">
        <f>Z19*1.1</f>
        <v/>
      </c>
      <c r="AA25" s="20">
        <f>AA19*1.1</f>
        <v/>
      </c>
      <c r="AB25" s="20">
        <f>AB19*1.1</f>
        <v/>
      </c>
      <c r="AC25" s="20">
        <f>AC19*1.1</f>
        <v/>
      </c>
      <c r="AD25" s="20">
        <f>AD19*1.1</f>
        <v/>
      </c>
      <c r="AE25" s="20">
        <f>AE19*1.1</f>
        <v/>
      </c>
      <c r="AF25" s="20">
        <f>AF19*1.1</f>
        <v/>
      </c>
      <c r="AG25" s="20">
        <f>AG19*1.1</f>
        <v/>
      </c>
      <c r="AH25" s="20">
        <f>AH19*1.1</f>
        <v/>
      </c>
      <c r="AI25" s="20">
        <f>AI19*1.1</f>
        <v/>
      </c>
      <c r="AJ25" s="20">
        <f>AJ19*1.1</f>
        <v/>
      </c>
      <c r="AK25" s="20">
        <f>AK19*1.1</f>
        <v/>
      </c>
      <c r="AL25" s="20">
        <f>AL19*1.1</f>
        <v/>
      </c>
      <c r="AM25" s="20">
        <f>AM19*1.1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C20*0.5</f>
        <v/>
      </c>
      <c r="D26" s="20">
        <f>D20*0.5</f>
        <v/>
      </c>
      <c r="E26" s="20">
        <f>E20*0.5</f>
        <v/>
      </c>
      <c r="F26" s="20">
        <f>F20*0.5</f>
        <v/>
      </c>
      <c r="G26" s="20">
        <f>G20*0.5</f>
        <v/>
      </c>
      <c r="H26" s="20">
        <f>H20*0.5</f>
        <v/>
      </c>
      <c r="I26" s="20">
        <f>I20*0.5</f>
        <v/>
      </c>
      <c r="J26" s="20">
        <f>J20*0.5</f>
        <v/>
      </c>
      <c r="K26" s="20">
        <f>K20*0.5</f>
        <v/>
      </c>
      <c r="L26" s="20">
        <f>L20*0.5</f>
        <v/>
      </c>
      <c r="M26" s="20">
        <f>M20*0.5</f>
        <v/>
      </c>
      <c r="N26" s="20">
        <f>N20*0.5</f>
        <v/>
      </c>
      <c r="O26" s="20">
        <f>O20*0.5</f>
        <v/>
      </c>
      <c r="P26" s="20">
        <f>P20*0.5</f>
        <v/>
      </c>
      <c r="Q26" s="20">
        <f>Q20*0.5</f>
        <v/>
      </c>
      <c r="R26" s="20">
        <f>R20*0.5</f>
        <v/>
      </c>
      <c r="S26" s="20">
        <f>S20*0.5</f>
        <v/>
      </c>
      <c r="T26" s="20">
        <f>T20*0.5</f>
        <v/>
      </c>
      <c r="U26" s="20">
        <f>U20*0.5</f>
        <v/>
      </c>
      <c r="V26" s="20">
        <f>V20*0.5</f>
        <v/>
      </c>
      <c r="W26" s="20">
        <f>W20*0.5</f>
        <v/>
      </c>
      <c r="X26" s="20">
        <f>X20*0.5</f>
        <v/>
      </c>
      <c r="Y26" s="20">
        <f>Y20*0.5</f>
        <v/>
      </c>
      <c r="Z26" s="20">
        <f>Z20*0.5</f>
        <v/>
      </c>
      <c r="AA26" s="20">
        <f>AA20*0.5</f>
        <v/>
      </c>
      <c r="AB26" s="20">
        <f>AB20*0.5</f>
        <v/>
      </c>
      <c r="AC26" s="20">
        <f>AC20*0.5</f>
        <v/>
      </c>
      <c r="AD26" s="20">
        <f>AD20*0.5</f>
        <v/>
      </c>
      <c r="AE26" s="20">
        <f>AE20*0.5</f>
        <v/>
      </c>
      <c r="AF26" s="20">
        <f>AF20*0.5</f>
        <v/>
      </c>
      <c r="AG26" s="20">
        <f>AG20*0.5</f>
        <v/>
      </c>
      <c r="AH26" s="20">
        <f>AH20*0.5</f>
        <v/>
      </c>
      <c r="AI26" s="20">
        <f>AI20*0.5</f>
        <v/>
      </c>
      <c r="AJ26" s="20">
        <f>AJ20*0.5</f>
        <v/>
      </c>
      <c r="AK26" s="20">
        <f>AK20*0.5</f>
        <v/>
      </c>
      <c r="AL26" s="20">
        <f>AL20*0.5</f>
        <v/>
      </c>
      <c r="AM26" s="20">
        <f>AM20*0.5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inlineStr">
        <is>
          <t>氢冶金矿石消耗量(万吨)</t>
        </is>
      </c>
      <c r="B27" s="7" t="inlineStr">
        <is>
          <t>铁素资源公式</t>
        </is>
      </c>
      <c r="C27" s="20">
        <f>(C20-C26/1.1)*1.053*1.65</f>
        <v/>
      </c>
      <c r="D27" s="20">
        <f>(D20-D26/1.1)*1.053*1.65</f>
        <v/>
      </c>
      <c r="E27" s="20">
        <f>(E20-E26/1.1)*1.053*1.65</f>
        <v/>
      </c>
      <c r="F27" s="20">
        <f>(F20-F26/1.1)*1.053*1.65</f>
        <v/>
      </c>
      <c r="G27" s="20">
        <f>(G20-G26/1.1)*1.053*1.65</f>
        <v/>
      </c>
      <c r="H27" s="20">
        <f>(H20-H26/1.1)*1.053*1.65</f>
        <v/>
      </c>
      <c r="I27" s="20">
        <f>(I20-I26/1.1)*1.053*1.65</f>
        <v/>
      </c>
      <c r="J27" s="20">
        <f>(J20-J26/1.1)*1.053*1.65</f>
        <v/>
      </c>
      <c r="K27" s="20">
        <f>(K20-K26/1.1)*1.053*1.65</f>
        <v/>
      </c>
      <c r="L27" s="20">
        <f>(L20-L26/1.1)*1.053*1.65</f>
        <v/>
      </c>
      <c r="M27" s="20">
        <f>(M20-M26/1.1)*1.053*1.65</f>
        <v/>
      </c>
      <c r="N27" s="20">
        <f>(N20-N26/1.1)*1.053*1.65</f>
        <v/>
      </c>
      <c r="O27" s="20">
        <f>(O20-O26/1.1)*1.053*1.65</f>
        <v/>
      </c>
      <c r="P27" s="20">
        <f>(P20-P26/1.1)*1.053*1.65</f>
        <v/>
      </c>
      <c r="Q27" s="20">
        <f>(Q20-Q26/1.1)*1.053*1.65</f>
        <v/>
      </c>
      <c r="R27" s="20">
        <f>(R20-R26/1.1)*1.053*1.65</f>
        <v/>
      </c>
      <c r="S27" s="20">
        <f>(S20-S26/1.1)*1.053*1.65</f>
        <v/>
      </c>
      <c r="T27" s="20">
        <f>(T20-T26/1.1)*1.053*1.65</f>
        <v/>
      </c>
      <c r="U27" s="20">
        <f>(U20-U26/1.1)*1.053*1.65</f>
        <v/>
      </c>
      <c r="V27" s="20">
        <f>(V20-V26/1.1)*1.053*1.65</f>
        <v/>
      </c>
      <c r="W27" s="20">
        <f>(W20-W26/1.1)*1.053*1.65</f>
        <v/>
      </c>
      <c r="X27" s="20">
        <f>(X20-X26/1.1)*1.053*1.65</f>
        <v/>
      </c>
      <c r="Y27" s="20">
        <f>(Y20-Y26/1.1)*1.053*1.65</f>
        <v/>
      </c>
      <c r="Z27" s="20">
        <f>(Z20-Z26/1.1)*1.053*1.65</f>
        <v/>
      </c>
      <c r="AA27" s="20">
        <f>(AA20-AA26/1.1)*1.053*1.65</f>
        <v/>
      </c>
      <c r="AB27" s="20">
        <f>(AB20-AB26/1.1)*1.053*1.65</f>
        <v/>
      </c>
      <c r="AC27" s="20">
        <f>(AC20-AC26/1.1)*1.053*1.65</f>
        <v/>
      </c>
      <c r="AD27" s="20">
        <f>(AD20-AD26/1.1)*1.053*1.65</f>
        <v/>
      </c>
      <c r="AE27" s="20">
        <f>(AE20-AE26/1.1)*1.053*1.65</f>
        <v/>
      </c>
      <c r="AF27" s="20">
        <f>(AF20-AF26/1.1)*1.053*1.65</f>
        <v/>
      </c>
      <c r="AG27" s="20">
        <f>(AG20-AG26/1.1)*1.053*1.65</f>
        <v/>
      </c>
      <c r="AH27" s="20">
        <f>(AH20-AH26/1.1)*1.053*1.65</f>
        <v/>
      </c>
      <c r="AI27" s="20">
        <f>(AI20-AI26/1.1)*1.053*1.65</f>
        <v/>
      </c>
      <c r="AJ27" s="20">
        <f>(AJ20-AJ26/1.1)*1.053*1.65</f>
        <v/>
      </c>
      <c r="AK27" s="20">
        <f>(AK20-AK26/1.1)*1.053*1.65</f>
        <v/>
      </c>
      <c r="AL27" s="20">
        <f>(AL20-AL26/1.1)*1.053*1.65</f>
        <v/>
      </c>
      <c r="AM27" s="20">
        <f>(AM20-AM26/1.1)*1.053*1.65</f>
        <v/>
      </c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inlineStr">
        <is>
          <t>矿石消耗总量(万吨)</t>
        </is>
      </c>
      <c r="B29" s="7" t="inlineStr">
        <is>
          <t>铁素资源公式</t>
        </is>
      </c>
      <c r="C29" s="22">
        <f>C24+C27</f>
        <v/>
      </c>
      <c r="D29" s="22">
        <f>D24+D27</f>
        <v/>
      </c>
      <c r="E29" s="22">
        <f>E24+E27</f>
        <v/>
      </c>
      <c r="F29" s="22">
        <f>F24+F27</f>
        <v/>
      </c>
      <c r="G29" s="22">
        <f>G24+G27</f>
        <v/>
      </c>
      <c r="H29" s="22">
        <f>H24+H27</f>
        <v/>
      </c>
      <c r="I29" s="22">
        <f>I24+I27</f>
        <v/>
      </c>
      <c r="J29" s="22">
        <f>J24+J27</f>
        <v/>
      </c>
      <c r="K29" s="22">
        <f>K24+K27</f>
        <v/>
      </c>
      <c r="L29" s="22">
        <f>L24+L27</f>
        <v/>
      </c>
      <c r="M29" s="22">
        <f>M24+M27</f>
        <v/>
      </c>
      <c r="N29" s="22">
        <f>N24+N27</f>
        <v/>
      </c>
      <c r="O29" s="22">
        <f>O24+O27</f>
        <v/>
      </c>
      <c r="P29" s="22">
        <f>P24+P27</f>
        <v/>
      </c>
      <c r="Q29" s="22">
        <f>Q24+Q27</f>
        <v/>
      </c>
      <c r="R29" s="22">
        <f>R24+R27</f>
        <v/>
      </c>
      <c r="S29" s="22">
        <f>S24+S27</f>
        <v/>
      </c>
      <c r="T29" s="22">
        <f>T24+T27</f>
        <v/>
      </c>
      <c r="U29" s="22">
        <f>U24+U27</f>
        <v/>
      </c>
      <c r="V29" s="22">
        <f>V24+V27</f>
        <v/>
      </c>
      <c r="W29" s="22">
        <f>W24+W27</f>
        <v/>
      </c>
      <c r="X29" s="22">
        <f>X24+X27</f>
        <v/>
      </c>
      <c r="Y29" s="22">
        <f>Y24+Y27</f>
        <v/>
      </c>
      <c r="Z29" s="22">
        <f>Z24+Z27</f>
        <v/>
      </c>
      <c r="AA29" s="22">
        <f>AA24+AA27</f>
        <v/>
      </c>
      <c r="AB29" s="22">
        <f>AB24+AB27</f>
        <v/>
      </c>
      <c r="AC29" s="22">
        <f>AC24+AC27</f>
        <v/>
      </c>
      <c r="AD29" s="22">
        <f>AD24+AD27</f>
        <v/>
      </c>
      <c r="AE29" s="22">
        <f>AE24+AE27</f>
        <v/>
      </c>
      <c r="AF29" s="22">
        <f>AF24+AF27</f>
        <v/>
      </c>
      <c r="AG29" s="22">
        <f>AG24+AG27</f>
        <v/>
      </c>
      <c r="AH29" s="22">
        <f>AH24+AH27</f>
        <v/>
      </c>
      <c r="AI29" s="22">
        <f>AI24+AI27</f>
        <v/>
      </c>
      <c r="AJ29" s="22">
        <f>AJ24+AJ27</f>
        <v/>
      </c>
      <c r="AK29" s="22">
        <f>AK24+AK27</f>
        <v/>
      </c>
      <c r="AL29" s="22">
        <f>AL24+AL27</f>
        <v/>
      </c>
      <c r="AM29" s="22">
        <f>AM24+AM27</f>
        <v/>
      </c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0.03333333333333333</v>
      </c>
      <c r="E32" s="44" t="n">
        <v>0.06666666666666667</v>
      </c>
      <c r="F32" s="44" t="n">
        <v>0.1</v>
      </c>
      <c r="G32" s="44" t="n">
        <v>0.1333333333333333</v>
      </c>
      <c r="H32" s="44" t="n">
        <v>0.1666666666666667</v>
      </c>
      <c r="I32" s="44" t="n">
        <v>0.2</v>
      </c>
      <c r="J32" s="44" t="n">
        <v>0.23</v>
      </c>
      <c r="K32" s="44" t="n">
        <v>0.26</v>
      </c>
      <c r="L32" s="44" t="n">
        <v>0.29</v>
      </c>
      <c r="M32" s="44" t="n">
        <v>0.32</v>
      </c>
      <c r="N32" s="44" t="n">
        <v>0.35</v>
      </c>
      <c r="O32" s="44" t="n">
        <v>0.384</v>
      </c>
      <c r="P32" s="44" t="n">
        <v>0.418</v>
      </c>
      <c r="Q32" s="44" t="n">
        <v>0.452</v>
      </c>
      <c r="R32" s="44" t="n">
        <v>0.486</v>
      </c>
      <c r="S32" s="44" t="n">
        <v>0.52</v>
      </c>
      <c r="T32" s="44" t="n">
        <v>0.54</v>
      </c>
      <c r="U32" s="44" t="n">
        <v>0.5600000000000001</v>
      </c>
      <c r="V32" s="44" t="n">
        <v>0.58</v>
      </c>
      <c r="W32" s="44" t="n">
        <v>0.6</v>
      </c>
      <c r="X32" s="44" t="n">
        <v>0.62</v>
      </c>
      <c r="Y32" s="44" t="n">
        <v>0.64</v>
      </c>
      <c r="Z32" s="44" t="n">
        <v>0.6599999999999999</v>
      </c>
      <c r="AA32" s="44" t="n">
        <v>0.6799999999999999</v>
      </c>
      <c r="AB32" s="44" t="n">
        <v>0.7</v>
      </c>
      <c r="AC32" s="44" t="n">
        <v>0.72</v>
      </c>
      <c r="AD32" s="44" t="n">
        <v>0.736</v>
      </c>
      <c r="AE32" s="44" t="n">
        <v>0.752</v>
      </c>
      <c r="AF32" s="44" t="n">
        <v>0.768</v>
      </c>
      <c r="AG32" s="44" t="n">
        <v>0.784</v>
      </c>
      <c r="AH32" s="44" t="n">
        <v>0.8</v>
      </c>
      <c r="AI32" s="44" t="n">
        <v>0.8159999999999999</v>
      </c>
      <c r="AJ32" s="44" t="n">
        <v>0.832</v>
      </c>
      <c r="AK32" s="44" t="n">
        <v>0.848</v>
      </c>
      <c r="AL32" s="44" t="n">
        <v>0.864</v>
      </c>
      <c r="AM32" s="44" t="n">
        <v>0.88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0.0008333333333333333</v>
      </c>
      <c r="E36" s="45" t="n">
        <v>0.001666666666666667</v>
      </c>
      <c r="F36" s="45" t="n">
        <v>0.0025</v>
      </c>
      <c r="G36" s="45" t="n">
        <v>0.003333333333333333</v>
      </c>
      <c r="H36" s="45" t="n">
        <v>0.004166666666666667</v>
      </c>
      <c r="I36" s="45" t="n">
        <v>0.005</v>
      </c>
      <c r="J36" s="45" t="n">
        <v>0.008</v>
      </c>
      <c r="K36" s="45" t="n">
        <v>0.011</v>
      </c>
      <c r="L36" s="45" t="n">
        <v>0.014</v>
      </c>
      <c r="M36" s="45" t="n">
        <v>0.017</v>
      </c>
      <c r="N36" s="45" t="n">
        <v>0.02</v>
      </c>
      <c r="O36" s="45" t="n">
        <v>0.022</v>
      </c>
      <c r="P36" s="45" t="n">
        <v>0.024</v>
      </c>
      <c r="Q36" s="45" t="n">
        <v>0.026</v>
      </c>
      <c r="R36" s="45" t="n">
        <v>0.028</v>
      </c>
      <c r="S36" s="45" t="n">
        <v>0.03</v>
      </c>
      <c r="T36" s="45" t="n">
        <v>0.0305</v>
      </c>
      <c r="U36" s="45" t="n">
        <v>0.031</v>
      </c>
      <c r="V36" s="45" t="n">
        <v>0.0315</v>
      </c>
      <c r="W36" s="45" t="n">
        <v>0.032</v>
      </c>
      <c r="X36" s="45" t="n">
        <v>0.0325</v>
      </c>
      <c r="Y36" s="45" t="n">
        <v>0.033</v>
      </c>
      <c r="Z36" s="45" t="n">
        <v>0.0335</v>
      </c>
      <c r="AA36" s="45" t="n">
        <v>0.034</v>
      </c>
      <c r="AB36" s="45" t="n">
        <v>0.0345</v>
      </c>
      <c r="AC36" s="45" t="n">
        <v>0.035</v>
      </c>
      <c r="AD36" s="45" t="n">
        <v>0.0335</v>
      </c>
      <c r="AE36" s="45" t="n">
        <v>0.032</v>
      </c>
      <c r="AF36" s="45" t="n">
        <v>0.0305</v>
      </c>
      <c r="AG36" s="45" t="n">
        <v>0.029</v>
      </c>
      <c r="AH36" s="45" t="n">
        <v>0.0275</v>
      </c>
      <c r="AI36" s="45" t="n">
        <v>0.026</v>
      </c>
      <c r="AJ36" s="45" t="n">
        <v>0.0245</v>
      </c>
      <c r="AK36" s="45" t="n">
        <v>0.023</v>
      </c>
      <c r="AL36" s="45" t="n">
        <v>0.0215</v>
      </c>
      <c r="AM36" s="45" t="n">
        <v>0.02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产量变化碳排放曲线(万吨CO2)</t>
        </is>
      </c>
      <c r="B41" s="7">
        <f>粗钢产量×1.95</f>
        <v/>
      </c>
      <c r="C41" s="20">
        <f>C13*1.95</f>
        <v/>
      </c>
      <c r="D41" s="20">
        <f>D13*1.95</f>
        <v/>
      </c>
      <c r="E41" s="20">
        <f>E13*1.95</f>
        <v/>
      </c>
      <c r="F41" s="20">
        <f>F13*1.95</f>
        <v/>
      </c>
      <c r="G41" s="20">
        <f>G13*1.95</f>
        <v/>
      </c>
      <c r="H41" s="20">
        <f>H13*1.95</f>
        <v/>
      </c>
      <c r="I41" s="20">
        <f>I13*1.95</f>
        <v/>
      </c>
      <c r="J41" s="20">
        <f>J13*1.95</f>
        <v/>
      </c>
      <c r="K41" s="20">
        <f>K13*1.95</f>
        <v/>
      </c>
      <c r="L41" s="20">
        <f>L13*1.95</f>
        <v/>
      </c>
      <c r="M41" s="20">
        <f>M13*1.95</f>
        <v/>
      </c>
      <c r="N41" s="20">
        <f>N13*1.95</f>
        <v/>
      </c>
      <c r="O41" s="20">
        <f>O13*1.95</f>
        <v/>
      </c>
      <c r="P41" s="20">
        <f>P13*1.95</f>
        <v/>
      </c>
      <c r="Q41" s="20">
        <f>Q13*1.95</f>
        <v/>
      </c>
      <c r="R41" s="20">
        <f>R13*1.95</f>
        <v/>
      </c>
      <c r="S41" s="20">
        <f>S13*1.95</f>
        <v/>
      </c>
      <c r="T41" s="20">
        <f>T13*1.95</f>
        <v/>
      </c>
      <c r="U41" s="20">
        <f>U13*1.95</f>
        <v/>
      </c>
      <c r="V41" s="20">
        <f>V13*1.95</f>
        <v/>
      </c>
      <c r="W41" s="20">
        <f>W13*1.95</f>
        <v/>
      </c>
      <c r="X41" s="20">
        <f>X13*1.95</f>
        <v/>
      </c>
      <c r="Y41" s="20">
        <f>Y13*1.95</f>
        <v/>
      </c>
      <c r="Z41" s="20">
        <f>Z13*1.95</f>
        <v/>
      </c>
      <c r="AA41" s="20">
        <f>AA13*1.95</f>
        <v/>
      </c>
      <c r="AB41" s="20">
        <f>AB13*1.95</f>
        <v/>
      </c>
      <c r="AC41" s="20">
        <f>AC13*1.95</f>
        <v/>
      </c>
      <c r="AD41" s="20">
        <f>AD13*1.95</f>
        <v/>
      </c>
      <c r="AE41" s="20">
        <f>AE13*1.95</f>
        <v/>
      </c>
      <c r="AF41" s="20">
        <f>AF13*1.95</f>
        <v/>
      </c>
      <c r="AG41" s="20">
        <f>AG13*1.95</f>
        <v/>
      </c>
      <c r="AH41" s="20">
        <f>AH13*1.95</f>
        <v/>
      </c>
      <c r="AI41" s="20">
        <f>AI13*1.95</f>
        <v/>
      </c>
      <c r="AJ41" s="20">
        <f>AJ13*1.95</f>
        <v/>
      </c>
      <c r="AK41" s="20">
        <f>AK13*1.95</f>
        <v/>
      </c>
      <c r="AL41" s="20">
        <f>AL13*1.95</f>
        <v/>
      </c>
      <c r="AM41" s="20">
        <f>AM13*1.95</f>
        <v/>
      </c>
    </row>
    <row r="42" ht="17" customHeight="1">
      <c r="A42" s="2" t="inlineStr">
        <is>
          <t>产量变化降碳潜力(万吨CO2)</t>
        </is>
      </c>
      <c r="B42" s="7">
        <f>基准产量×1.95-当年曲线</f>
        <v/>
      </c>
      <c r="C42" s="20">
        <f>100509*1.95-C41</f>
        <v/>
      </c>
      <c r="D42" s="20">
        <f>100509*1.95-D41</f>
        <v/>
      </c>
      <c r="E42" s="20">
        <f>100509*1.95-E41</f>
        <v/>
      </c>
      <c r="F42" s="20">
        <f>100509*1.95-F41</f>
        <v/>
      </c>
      <c r="G42" s="20">
        <f>100509*1.95-G41</f>
        <v/>
      </c>
      <c r="H42" s="20">
        <f>100509*1.95-H41</f>
        <v/>
      </c>
      <c r="I42" s="20">
        <f>100509*1.95-I41</f>
        <v/>
      </c>
      <c r="J42" s="20">
        <f>100509*1.95-J41</f>
        <v/>
      </c>
      <c r="K42" s="20">
        <f>100509*1.95-K41</f>
        <v/>
      </c>
      <c r="L42" s="20">
        <f>100509*1.95-L41</f>
        <v/>
      </c>
      <c r="M42" s="20">
        <f>100509*1.95-M41</f>
        <v/>
      </c>
      <c r="N42" s="20">
        <f>100509*1.95-N41</f>
        <v/>
      </c>
      <c r="O42" s="20">
        <f>100509*1.95-O41</f>
        <v/>
      </c>
      <c r="P42" s="20">
        <f>100509*1.95-P41</f>
        <v/>
      </c>
      <c r="Q42" s="20">
        <f>100509*1.95-Q41</f>
        <v/>
      </c>
      <c r="R42" s="20">
        <f>100509*1.95-R41</f>
        <v/>
      </c>
      <c r="S42" s="20">
        <f>100509*1.95-S41</f>
        <v/>
      </c>
      <c r="T42" s="20">
        <f>100509*1.95-T41</f>
        <v/>
      </c>
      <c r="U42" s="20">
        <f>100509*1.95-U41</f>
        <v/>
      </c>
      <c r="V42" s="20">
        <f>100509*1.95-V41</f>
        <v/>
      </c>
      <c r="W42" s="20">
        <f>100509*1.95-W41</f>
        <v/>
      </c>
      <c r="X42" s="20">
        <f>100509*1.95-X41</f>
        <v/>
      </c>
      <c r="Y42" s="20">
        <f>100509*1.95-Y41</f>
        <v/>
      </c>
      <c r="Z42" s="20">
        <f>100509*1.95-Z41</f>
        <v/>
      </c>
      <c r="AA42" s="20">
        <f>100509*1.95-AA41</f>
        <v/>
      </c>
      <c r="AB42" s="20">
        <f>100509*1.95-AB41</f>
        <v/>
      </c>
      <c r="AC42" s="20">
        <f>100509*1.95-AC41</f>
        <v/>
      </c>
      <c r="AD42" s="20">
        <f>100509*1.95-AD41</f>
        <v/>
      </c>
      <c r="AE42" s="20">
        <f>100509*1.95-AE41</f>
        <v/>
      </c>
      <c r="AF42" s="20">
        <f>100509*1.95-AF41</f>
        <v/>
      </c>
      <c r="AG42" s="20">
        <f>100509*1.95-AG41</f>
        <v/>
      </c>
      <c r="AH42" s="20">
        <f>100509*1.95-AH41</f>
        <v/>
      </c>
      <c r="AI42" s="20">
        <f>100509*1.95-AI41</f>
        <v/>
      </c>
      <c r="AJ42" s="20">
        <f>100509*1.95-AJ41</f>
        <v/>
      </c>
      <c r="AK42" s="20">
        <f>100509*1.95-AK41</f>
        <v/>
      </c>
      <c r="AL42" s="20">
        <f>100509*1.95-AL41</f>
        <v/>
      </c>
      <c r="AM42" s="20">
        <f>100509*1.95-AM41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((C28-38394.44)/1.1)*(1.8-0.45)</f>
        <v/>
      </c>
      <c r="D44" s="20">
        <f>((D28-38394.44)/1.1)*(1.8-0.45)</f>
        <v/>
      </c>
      <c r="E44" s="20">
        <f>((E28-38394.44)/1.1)*(1.8-0.45)</f>
        <v/>
      </c>
      <c r="F44" s="20">
        <f>((F28-38394.44)/1.1)*(1.8-0.45)</f>
        <v/>
      </c>
      <c r="G44" s="20">
        <f>((G28-38394.44)/1.1)*(1.8-0.45)</f>
        <v/>
      </c>
      <c r="H44" s="20">
        <f>((H28-38394.44)/1.1)*(1.8-0.45)</f>
        <v/>
      </c>
      <c r="I44" s="20">
        <f>((I28-38394.44)/1.1)*(1.8-0.45)</f>
        <v/>
      </c>
      <c r="J44" s="20">
        <f>((J28-38394.44)/1.1)*(1.8-0.45)</f>
        <v/>
      </c>
      <c r="K44" s="20">
        <f>((K28-38394.44)/1.1)*(1.8-0.45)</f>
        <v/>
      </c>
      <c r="L44" s="20">
        <f>((L28-38394.44)/1.1)*(1.8-0.45)</f>
        <v/>
      </c>
      <c r="M44" s="20">
        <f>((M28-38394.44)/1.1)*(1.8-0.45)</f>
        <v/>
      </c>
      <c r="N44" s="20">
        <f>((N28-38394.44)/1.1)*(1.8-0.45)</f>
        <v/>
      </c>
      <c r="O44" s="20">
        <f>((O28-38394.44)/1.1)*(1.8-0.45)</f>
        <v/>
      </c>
      <c r="P44" s="20">
        <f>((P28-38394.44)/1.1)*(1.8-0.45)</f>
        <v/>
      </c>
      <c r="Q44" s="20">
        <f>((Q28-38394.44)/1.1)*(1.8-0.45)</f>
        <v/>
      </c>
      <c r="R44" s="20">
        <f>((R28-38394.44)/1.1)*(1.8-0.45)</f>
        <v/>
      </c>
      <c r="S44" s="20">
        <f>((S28-38394.44)/1.1)*(1.8-0.45)</f>
        <v/>
      </c>
      <c r="T44" s="20">
        <f>((T28-38394.44)/1.1)*(1.8-0.45)</f>
        <v/>
      </c>
      <c r="U44" s="20">
        <f>((U28-38394.44)/1.1)*(1.8-0.45)</f>
        <v/>
      </c>
      <c r="V44" s="20">
        <f>((V28-38394.44)/1.1)*(1.8-0.45)</f>
        <v/>
      </c>
      <c r="W44" s="20">
        <f>((W28-38394.44)/1.1)*(1.8-0.45)</f>
        <v/>
      </c>
      <c r="X44" s="20">
        <f>((X28-38394.44)/1.1)*(1.8-0.45)</f>
        <v/>
      </c>
      <c r="Y44" s="20">
        <f>((Y28-38394.44)/1.1)*(1.8-0.45)</f>
        <v/>
      </c>
      <c r="Z44" s="20">
        <f>((Z28-38394.44)/1.1)*(1.8-0.45)</f>
        <v/>
      </c>
      <c r="AA44" s="20">
        <f>((AA28-38394.44)/1.1)*(1.8-0.45)</f>
        <v/>
      </c>
      <c r="AB44" s="20">
        <f>((AB28-38394.44)/1.1)*(1.8-0.45)</f>
        <v/>
      </c>
      <c r="AC44" s="20">
        <f>((AC28-38394.44)/1.1)*(1.8-0.45)</f>
        <v/>
      </c>
      <c r="AD44" s="20">
        <f>((AD28-38394.44)/1.1)*(1.8-0.45)</f>
        <v/>
      </c>
      <c r="AE44" s="20">
        <f>((AE28-38394.44)/1.1)*(1.8-0.45)</f>
        <v/>
      </c>
      <c r="AF44" s="20">
        <f>((AF28-38394.44)/1.1)*(1.8-0.45)</f>
        <v/>
      </c>
      <c r="AG44" s="20">
        <f>((AG28-38394.44)/1.1)*(1.8-0.45)</f>
        <v/>
      </c>
      <c r="AH44" s="20">
        <f>((AH28-38394.44)/1.1)*(1.8-0.45)</f>
        <v/>
      </c>
      <c r="AI44" s="20">
        <f>((AI28-38394.44)/1.1)*(1.8-0.45)</f>
        <v/>
      </c>
      <c r="AJ44" s="20">
        <f>((AJ28-38394.44)/1.1)*(1.8-0.45)</f>
        <v/>
      </c>
      <c r="AK44" s="20">
        <f>((AK28-38394.44)/1.1)*(1.8-0.45)</f>
        <v/>
      </c>
      <c r="AL44" s="20">
        <f>((AL28-38394.44)/1.1)*(1.8-0.45)</f>
        <v/>
      </c>
      <c r="AM44" s="20">
        <f>((AM28-38394.44)/1.1)*(1.8-0.45)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C41-C44</f>
        <v/>
      </c>
      <c r="D45" s="20">
        <f>D41-D44</f>
        <v/>
      </c>
      <c r="E45" s="20">
        <f>E41-E44</f>
        <v/>
      </c>
      <c r="F45" s="20">
        <f>F41-F44</f>
        <v/>
      </c>
      <c r="G45" s="20">
        <f>G41-G44</f>
        <v/>
      </c>
      <c r="H45" s="20">
        <f>H41-H44</f>
        <v/>
      </c>
      <c r="I45" s="20">
        <f>I41-I44</f>
        <v/>
      </c>
      <c r="J45" s="20">
        <f>J41-J44</f>
        <v/>
      </c>
      <c r="K45" s="20">
        <f>K41-K44</f>
        <v/>
      </c>
      <c r="L45" s="20">
        <f>L41-L44</f>
        <v/>
      </c>
      <c r="M45" s="20">
        <f>M41-M44</f>
        <v/>
      </c>
      <c r="N45" s="20">
        <f>N41-N44</f>
        <v/>
      </c>
      <c r="O45" s="20">
        <f>O41-O44</f>
        <v/>
      </c>
      <c r="P45" s="20">
        <f>P41-P44</f>
        <v/>
      </c>
      <c r="Q45" s="20">
        <f>Q41-Q44</f>
        <v/>
      </c>
      <c r="R45" s="20">
        <f>R41-R44</f>
        <v/>
      </c>
      <c r="S45" s="20">
        <f>S41-S44</f>
        <v/>
      </c>
      <c r="T45" s="20">
        <f>T41-T44</f>
        <v/>
      </c>
      <c r="U45" s="20">
        <f>U41-U44</f>
        <v/>
      </c>
      <c r="V45" s="20">
        <f>V41-V44</f>
        <v/>
      </c>
      <c r="W45" s="20">
        <f>W41-W44</f>
        <v/>
      </c>
      <c r="X45" s="20">
        <f>X41-X44</f>
        <v/>
      </c>
      <c r="Y45" s="20">
        <f>Y41-Y44</f>
        <v/>
      </c>
      <c r="Z45" s="20">
        <f>Z41-Z44</f>
        <v/>
      </c>
      <c r="AA45" s="20">
        <f>AA41-AA44</f>
        <v/>
      </c>
      <c r="AB45" s="20">
        <f>AB41-AB44</f>
        <v/>
      </c>
      <c r="AC45" s="20">
        <f>AC41-AC44</f>
        <v/>
      </c>
      <c r="AD45" s="20">
        <f>AD41-AD44</f>
        <v/>
      </c>
      <c r="AE45" s="20">
        <f>AE41-AE44</f>
        <v/>
      </c>
      <c r="AF45" s="20">
        <f>AF41-AF44</f>
        <v/>
      </c>
      <c r="AG45" s="20">
        <f>AG41-AG44</f>
        <v/>
      </c>
      <c r="AH45" s="20">
        <f>AH41-AH44</f>
        <v/>
      </c>
      <c r="AI45" s="20">
        <f>AI41-AI44</f>
        <v/>
      </c>
      <c r="AJ45" s="20">
        <f>AJ41-AJ44</f>
        <v/>
      </c>
      <c r="AK45" s="20">
        <f>AK41-AK44</f>
        <v/>
      </c>
      <c r="AL45" s="20">
        <f>AL41-AL44</f>
        <v/>
      </c>
      <c r="AM45" s="20">
        <f>AM41-AM44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(C25-11055.99)*1.26</f>
        <v/>
      </c>
      <c r="D47" s="20">
        <f>(D25-11055.99)*1.26</f>
        <v/>
      </c>
      <c r="E47" s="20">
        <f>(E25-11055.99)*1.26</f>
        <v/>
      </c>
      <c r="F47" s="20">
        <f>(F25-11055.99)*1.26</f>
        <v/>
      </c>
      <c r="G47" s="20">
        <f>(G25-11055.99)*1.26</f>
        <v/>
      </c>
      <c r="H47" s="20">
        <f>(H25-11055.99)*1.26</f>
        <v/>
      </c>
      <c r="I47" s="20">
        <f>(I25-11055.99)*1.26</f>
        <v/>
      </c>
      <c r="J47" s="20">
        <f>(J25-11055.99)*1.26</f>
        <v/>
      </c>
      <c r="K47" s="20">
        <f>(K25-11055.99)*1.26</f>
        <v/>
      </c>
      <c r="L47" s="20">
        <f>(L25-11055.99)*1.26</f>
        <v/>
      </c>
      <c r="M47" s="20">
        <f>(M25-11055.99)*1.26</f>
        <v/>
      </c>
      <c r="N47" s="20">
        <f>(N25-11055.99)*1.26</f>
        <v/>
      </c>
      <c r="O47" s="20">
        <f>(O25-11055.99)*1.26</f>
        <v/>
      </c>
      <c r="P47" s="20">
        <f>(P25-11055.99)*1.26</f>
        <v/>
      </c>
      <c r="Q47" s="20">
        <f>(Q25-11055.99)*1.26</f>
        <v/>
      </c>
      <c r="R47" s="20">
        <f>(R25-11055.99)*1.26</f>
        <v/>
      </c>
      <c r="S47" s="20">
        <f>(S25-11055.99)*1.26</f>
        <v/>
      </c>
      <c r="T47" s="20">
        <f>(T25-11055.99)*1.26</f>
        <v/>
      </c>
      <c r="U47" s="20">
        <f>(U25-11055.99)*1.26</f>
        <v/>
      </c>
      <c r="V47" s="20">
        <f>(V25-11055.99)*1.26</f>
        <v/>
      </c>
      <c r="W47" s="20">
        <f>(W25-11055.99)*1.26</f>
        <v/>
      </c>
      <c r="X47" s="20">
        <f>(X25-11055.99)*1.26</f>
        <v/>
      </c>
      <c r="Y47" s="20">
        <f>(Y25-11055.99)*1.26</f>
        <v/>
      </c>
      <c r="Z47" s="20">
        <f>(Z25-11055.99)*1.26</f>
        <v/>
      </c>
      <c r="AA47" s="20">
        <f>(AA25-11055.99)*1.26</f>
        <v/>
      </c>
      <c r="AB47" s="20">
        <f>(AB25-11055.99)*1.26</f>
        <v/>
      </c>
      <c r="AC47" s="20">
        <f>(AC25-11055.99)*1.26</f>
        <v/>
      </c>
      <c r="AD47" s="20">
        <f>(AD25-11055.99)*1.26</f>
        <v/>
      </c>
      <c r="AE47" s="20">
        <f>(AE25-11055.99)*1.26</f>
        <v/>
      </c>
      <c r="AF47" s="20">
        <f>(AF25-11055.99)*1.26</f>
        <v/>
      </c>
      <c r="AG47" s="20">
        <f>(AG25-11055.99)*1.26</f>
        <v/>
      </c>
      <c r="AH47" s="20">
        <f>(AH25-11055.99)*1.26</f>
        <v/>
      </c>
      <c r="AI47" s="20">
        <f>(AI25-11055.99)*1.26</f>
        <v/>
      </c>
      <c r="AJ47" s="20">
        <f>(AJ25-11055.99)*1.26</f>
        <v/>
      </c>
      <c r="AK47" s="20">
        <f>(AK25-11055.99)*1.26</f>
        <v/>
      </c>
      <c r="AL47" s="20">
        <f>(AL25-11055.99)*1.26</f>
        <v/>
      </c>
      <c r="AM47" s="20">
        <f>(AM25-11055.99)*1.26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((C27-952.52)/1.65)*1.26</f>
        <v/>
      </c>
      <c r="D50" s="20">
        <f>((D27-952.52)/1.65)*1.26</f>
        <v/>
      </c>
      <c r="E50" s="20">
        <f>((E27-952.52)/1.65)*1.26</f>
        <v/>
      </c>
      <c r="F50" s="20">
        <f>((F27-952.52)/1.65)*1.26</f>
        <v/>
      </c>
      <c r="G50" s="20">
        <f>((G27-952.52)/1.65)*1.26</f>
        <v/>
      </c>
      <c r="H50" s="20">
        <f>((H27-952.52)/1.65)*1.26</f>
        <v/>
      </c>
      <c r="I50" s="20">
        <f>((I27-952.52)/1.65)*1.26</f>
        <v/>
      </c>
      <c r="J50" s="20">
        <f>((J27-952.52)/1.65)*1.26</f>
        <v/>
      </c>
      <c r="K50" s="20">
        <f>((K27-952.52)/1.65)*1.26</f>
        <v/>
      </c>
      <c r="L50" s="20">
        <f>((L27-952.52)/1.65)*1.26</f>
        <v/>
      </c>
      <c r="M50" s="20">
        <f>((M27-952.52)/1.65)*1.26</f>
        <v/>
      </c>
      <c r="N50" s="20">
        <f>((N27-952.52)/1.65)*1.26</f>
        <v/>
      </c>
      <c r="O50" s="20">
        <f>((O27-952.52)/1.65)*1.26</f>
        <v/>
      </c>
      <c r="P50" s="20">
        <f>((P27-952.52)/1.65)*1.26</f>
        <v/>
      </c>
      <c r="Q50" s="20">
        <f>((Q27-952.52)/1.65)*1.26</f>
        <v/>
      </c>
      <c r="R50" s="20">
        <f>((R27-952.52)/1.65)*1.26</f>
        <v/>
      </c>
      <c r="S50" s="20">
        <f>((S27-952.52)/1.65)*1.26</f>
        <v/>
      </c>
      <c r="T50" s="20">
        <f>((T27-952.52)/1.65)*1.26</f>
        <v/>
      </c>
      <c r="U50" s="20">
        <f>((U27-952.52)/1.65)*1.26</f>
        <v/>
      </c>
      <c r="V50" s="20">
        <f>((V27-952.52)/1.65)*1.26</f>
        <v/>
      </c>
      <c r="W50" s="20">
        <f>((W27-952.52)/1.65)*1.26</f>
        <v/>
      </c>
      <c r="X50" s="20">
        <f>((X27-952.52)/1.65)*1.26</f>
        <v/>
      </c>
      <c r="Y50" s="20">
        <f>((Y27-952.52)/1.65)*1.26</f>
        <v/>
      </c>
      <c r="Z50" s="20">
        <f>((Z27-952.52)/1.65)*1.26</f>
        <v/>
      </c>
      <c r="AA50" s="20">
        <f>((AA27-952.52)/1.65)*1.26</f>
        <v/>
      </c>
      <c r="AB50" s="20">
        <f>((AB27-952.52)/1.65)*1.26</f>
        <v/>
      </c>
      <c r="AC50" s="20">
        <f>((AC27-952.52)/1.65)*1.26</f>
        <v/>
      </c>
      <c r="AD50" s="20">
        <f>((AD27-952.52)/1.65)*1.26</f>
        <v/>
      </c>
      <c r="AE50" s="20">
        <f>((AE27-952.52)/1.65)*1.26</f>
        <v/>
      </c>
      <c r="AF50" s="20">
        <f>((AF27-952.52)/1.65)*1.26</f>
        <v/>
      </c>
      <c r="AG50" s="20">
        <f>((AG27-952.52)/1.65)*1.26</f>
        <v/>
      </c>
      <c r="AH50" s="20">
        <f>((AH27-952.52)/1.65)*1.26</f>
        <v/>
      </c>
      <c r="AI50" s="20">
        <f>((AI27-952.52)/1.65)*1.26</f>
        <v/>
      </c>
      <c r="AJ50" s="20">
        <f>((AJ27-952.52)/1.65)*1.26</f>
        <v/>
      </c>
      <c r="AK50" s="20">
        <f>((AK27-952.52)/1.65)*1.26</f>
        <v/>
      </c>
      <c r="AL50" s="20">
        <f>((AL27-952.52)/1.65)*1.26</f>
        <v/>
      </c>
      <c r="AM50" s="20">
        <f>((AM27-952.52)/1.65)*1.26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 t="n">
        <v>0</v>
      </c>
      <c r="D59" s="44">
        <f>MAX(0,MIN(0.98,IF(D57&gt;0,1-汇总对比与可视化看板!F4*D13/D57,0)))</f>
        <v/>
      </c>
      <c r="E59" s="44">
        <f>MAX(0,MIN(0.98,IF(E57&gt;0,1-汇总对比与可视化看板!F5*E13/E57,0)))</f>
        <v/>
      </c>
      <c r="F59" s="44">
        <f>MAX(0,MIN(0.98,IF(F57&gt;0,1-汇总对比与可视化看板!F6*F13/F57,0)))</f>
        <v/>
      </c>
      <c r="G59" s="44">
        <f>MAX(0,MIN(0.98,IF(G57&gt;0,1-汇总对比与可视化看板!F7*G13/G57,0)))</f>
        <v/>
      </c>
      <c r="H59" s="44">
        <f>MAX(0,MIN(0.98,IF(H57&gt;0,1-汇总对比与可视化看板!F8*H13/H57,0)))</f>
        <v/>
      </c>
      <c r="I59" s="44">
        <f>MAX(0,MIN(0.98,IF(I57&gt;0,1-汇总对比与可视化看板!F9*I13/I57,0)))</f>
        <v/>
      </c>
      <c r="J59" s="44">
        <f>MAX(0,MIN(0.98,IF(J57&gt;0,1-汇总对比与可视化看板!F10*J13/J57,0)))</f>
        <v/>
      </c>
      <c r="K59" s="44">
        <f>MAX(0,MIN(0.98,IF(K57&gt;0,1-汇总对比与可视化看板!F11*K13/K57,0)))</f>
        <v/>
      </c>
      <c r="L59" s="44">
        <f>MAX(0,MIN(0.98,IF(L57&gt;0,1-汇总对比与可视化看板!F12*L13/L57,0)))</f>
        <v/>
      </c>
      <c r="M59" s="44">
        <f>MAX(0,MIN(0.98,IF(M57&gt;0,1-汇总对比与可视化看板!F13*M13/M57,0)))</f>
        <v/>
      </c>
      <c r="N59" s="44">
        <f>MAX(0,MIN(0.98,IF(N57&gt;0,1-汇总对比与可视化看板!F14*N13/N57,0)))</f>
        <v/>
      </c>
      <c r="O59" s="44">
        <f>MAX(0,MIN(0.98,IF(O57&gt;0,1-汇总对比与可视化看板!F15*O13/O57,0)))</f>
        <v/>
      </c>
      <c r="P59" s="44">
        <f>MAX(0,MIN(0.98,IF(P57&gt;0,1-汇总对比与可视化看板!F16*P13/P57,0)))</f>
        <v/>
      </c>
      <c r="Q59" s="44">
        <f>MAX(0,MIN(0.98,IF(Q57&gt;0,1-汇总对比与可视化看板!F17*Q13/Q57,0)))</f>
        <v/>
      </c>
      <c r="R59" s="44">
        <f>MAX(0,MIN(0.98,IF(R57&gt;0,1-汇总对比与可视化看板!F18*R13/R57,0)))</f>
        <v/>
      </c>
      <c r="S59" s="44">
        <f>MAX(0,MIN(0.98,IF(S57&gt;0,1-汇总对比与可视化看板!F19*S13/S57,0)))</f>
        <v/>
      </c>
      <c r="T59" s="44">
        <f>MAX(0,MIN(0.98,IF(T57&gt;0,1-汇总对比与可视化看板!F20*T13/T57,0)))</f>
        <v/>
      </c>
      <c r="U59" s="44">
        <f>MAX(0,MIN(0.98,IF(U57&gt;0,1-汇总对比与可视化看板!F21*U13/U57,0)))</f>
        <v/>
      </c>
      <c r="V59" s="44">
        <f>MAX(0,MIN(0.98,IF(V57&gt;0,1-汇总对比与可视化看板!F22*V13/V57,0)))</f>
        <v/>
      </c>
      <c r="W59" s="44">
        <f>MAX(0,MIN(0.98,IF(W57&gt;0,1-汇总对比与可视化看板!F23*W13/W57,0)))</f>
        <v/>
      </c>
      <c r="X59" s="44">
        <f>MAX(0,MIN(0.98,IF(X57&gt;0,1-汇总对比与可视化看板!F24*X13/X57,0)))</f>
        <v/>
      </c>
      <c r="Y59" s="44">
        <f>MAX(0,MIN(0.98,IF(Y57&gt;0,1-汇总对比与可视化看板!F25*Y13/Y57,0)))</f>
        <v/>
      </c>
      <c r="Z59" s="44">
        <f>MAX(0,MIN(0.98,IF(Z57&gt;0,1-汇总对比与可视化看板!F26*Z13/Z57,0)))</f>
        <v/>
      </c>
      <c r="AA59" s="44">
        <f>MAX(0,MIN(0.98,IF(AA57&gt;0,1-汇总对比与可视化看板!F27*AA13/AA57,0)))</f>
        <v/>
      </c>
      <c r="AB59" s="44">
        <f>MAX(0,MIN(0.98,IF(AB57&gt;0,1-汇总对比与可视化看板!F28*AB13/AB57,0)))</f>
        <v/>
      </c>
      <c r="AC59" s="44">
        <f>MAX(0,MIN(0.98,IF(AC57&gt;0,1-汇总对比与可视化看板!F29*AC13/AC57,0)))</f>
        <v/>
      </c>
      <c r="AD59" s="44">
        <f>MAX(0,MIN(0.98,IF(AD57&gt;0,1-汇总对比与可视化看板!F30*AD13/AD57,0)))</f>
        <v/>
      </c>
      <c r="AE59" s="44">
        <f>MAX(0,MIN(0.98,IF(AE57&gt;0,1-汇总对比与可视化看板!F31*AE13/AE57,0)))</f>
        <v/>
      </c>
      <c r="AF59" s="44">
        <f>MAX(0,MIN(0.98,IF(AF57&gt;0,1-汇总对比与可视化看板!F32*AF13/AF57,0)))</f>
        <v/>
      </c>
      <c r="AG59" s="44">
        <f>MAX(0,MIN(0.98,IF(AG57&gt;0,1-汇总对比与可视化看板!F33*AG13/AG57,0)))</f>
        <v/>
      </c>
      <c r="AH59" s="44">
        <f>MAX(0,MIN(0.98,IF(AH57&gt;0,1-汇总对比与可视化看板!F34*AH13/AH57,0)))</f>
        <v/>
      </c>
      <c r="AI59" s="44">
        <f>MAX(0,MIN(0.98,IF(AI57&gt;0,1-汇总对比与可视化看板!F35*AI13/AI57,0)))</f>
        <v/>
      </c>
      <c r="AJ59" s="44">
        <f>MAX(0,MIN(0.98,IF(AJ57&gt;0,1-汇总对比与可视化看板!F36*AJ13/AJ57,0)))</f>
        <v/>
      </c>
      <c r="AK59" s="44">
        <f>MAX(0,MIN(0.98,IF(AK57&gt;0,1-汇总对比与可视化看板!F37*AK13/AK57,0)))</f>
        <v/>
      </c>
      <c r="AL59" s="44">
        <f>MAX(0,MIN(0.98,IF(AL57&gt;0,1-汇总对比与可视化看板!F38*AL13/AL57,0)))</f>
        <v/>
      </c>
      <c r="AM59" s="44">
        <f>MAX(0,MIN(0.98,IF(AM57&gt;0,1-汇总对比与可视化看板!F39*AM13/AM57,0)))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C57*C59</f>
        <v/>
      </c>
      <c r="D60" s="28">
        <f>D57*D59</f>
        <v/>
      </c>
      <c r="E60" s="28">
        <f>E57*E59</f>
        <v/>
      </c>
      <c r="F60" s="28">
        <f>F57*F59</f>
        <v/>
      </c>
      <c r="G60" s="28">
        <f>G57*G59</f>
        <v/>
      </c>
      <c r="H60" s="28">
        <f>H57*H59</f>
        <v/>
      </c>
      <c r="I60" s="28">
        <f>I57*I59</f>
        <v/>
      </c>
      <c r="J60" s="28">
        <f>J57*J59</f>
        <v/>
      </c>
      <c r="K60" s="28">
        <f>K57*K59</f>
        <v/>
      </c>
      <c r="L60" s="28">
        <f>L57*L59</f>
        <v/>
      </c>
      <c r="M60" s="28">
        <f>M57*M59</f>
        <v/>
      </c>
      <c r="N60" s="28">
        <f>N57*N59</f>
        <v/>
      </c>
      <c r="O60" s="28">
        <f>O57*O59</f>
        <v/>
      </c>
      <c r="P60" s="28">
        <f>P57*P59</f>
        <v/>
      </c>
      <c r="Q60" s="28">
        <f>Q57*Q59</f>
        <v/>
      </c>
      <c r="R60" s="28">
        <f>R57*R59</f>
        <v/>
      </c>
      <c r="S60" s="28">
        <f>S57*S59</f>
        <v/>
      </c>
      <c r="T60" s="28">
        <f>T57*T59</f>
        <v/>
      </c>
      <c r="U60" s="28">
        <f>U57*U59</f>
        <v/>
      </c>
      <c r="V60" s="28">
        <f>V57*V59</f>
        <v/>
      </c>
      <c r="W60" s="28">
        <f>W57*W59</f>
        <v/>
      </c>
      <c r="X60" s="28">
        <f>X57*X59</f>
        <v/>
      </c>
      <c r="Y60" s="28">
        <f>Y57*Y59</f>
        <v/>
      </c>
      <c r="Z60" s="28">
        <f>Z57*Z59</f>
        <v/>
      </c>
      <c r="AA60" s="28">
        <f>AA57*AA59</f>
        <v/>
      </c>
      <c r="AB60" s="28">
        <f>AB57*AB59</f>
        <v/>
      </c>
      <c r="AC60" s="28">
        <f>AC57*AC59</f>
        <v/>
      </c>
      <c r="AD60" s="28">
        <f>AD57*AD59</f>
        <v/>
      </c>
      <c r="AE60" s="28">
        <f>AE57*AE59</f>
        <v/>
      </c>
      <c r="AF60" s="28">
        <f>AF57*AF59</f>
        <v/>
      </c>
      <c r="AG60" s="28">
        <f>AG57*AG59</f>
        <v/>
      </c>
      <c r="AH60" s="28">
        <f>AH57*AH59</f>
        <v/>
      </c>
      <c r="AI60" s="28">
        <f>AI57*AI59</f>
        <v/>
      </c>
      <c r="AJ60" s="28">
        <f>AJ57*AJ59</f>
        <v/>
      </c>
      <c r="AK60" s="28">
        <f>AK57*AK59</f>
        <v/>
      </c>
      <c r="AL60" s="28">
        <f>AL57*AL59</f>
        <v/>
      </c>
      <c r="AM60" s="28">
        <f>AM57*AM59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C57-C60</f>
        <v/>
      </c>
      <c r="D62" s="28">
        <f>D57-D60</f>
        <v/>
      </c>
      <c r="E62" s="28">
        <f>E57-E60</f>
        <v/>
      </c>
      <c r="F62" s="28">
        <f>F57-F60</f>
        <v/>
      </c>
      <c r="G62" s="28">
        <f>G57-G60</f>
        <v/>
      </c>
      <c r="H62" s="28">
        <f>H57-H60</f>
        <v/>
      </c>
      <c r="I62" s="28">
        <f>I57-I60</f>
        <v/>
      </c>
      <c r="J62" s="28">
        <f>J57-J60</f>
        <v/>
      </c>
      <c r="K62" s="28">
        <f>K57-K60</f>
        <v/>
      </c>
      <c r="L62" s="28">
        <f>L57-L60</f>
        <v/>
      </c>
      <c r="M62" s="28">
        <f>M57-M60</f>
        <v/>
      </c>
      <c r="N62" s="28">
        <f>N57-N60</f>
        <v/>
      </c>
      <c r="O62" s="28">
        <f>O57-O60</f>
        <v/>
      </c>
      <c r="P62" s="28">
        <f>P57-P60</f>
        <v/>
      </c>
      <c r="Q62" s="28">
        <f>Q57-Q60</f>
        <v/>
      </c>
      <c r="R62" s="28">
        <f>R57-R60</f>
        <v/>
      </c>
      <c r="S62" s="28">
        <f>S57-S60</f>
        <v/>
      </c>
      <c r="T62" s="28">
        <f>T57-T60</f>
        <v/>
      </c>
      <c r="U62" s="28">
        <f>U57-U60</f>
        <v/>
      </c>
      <c r="V62" s="28">
        <f>V57-V60</f>
        <v/>
      </c>
      <c r="W62" s="28">
        <f>W57-W60</f>
        <v/>
      </c>
      <c r="X62" s="28">
        <f>X57-X60</f>
        <v/>
      </c>
      <c r="Y62" s="28">
        <f>Y57-Y60</f>
        <v/>
      </c>
      <c r="Z62" s="28">
        <f>Z57-Z60</f>
        <v/>
      </c>
      <c r="AA62" s="28">
        <f>AA57-AA60</f>
        <v/>
      </c>
      <c r="AB62" s="28">
        <f>AB57-AB60</f>
        <v/>
      </c>
      <c r="AC62" s="28">
        <f>AC57-AC60</f>
        <v/>
      </c>
      <c r="AD62" s="28">
        <f>AD57-AD60</f>
        <v/>
      </c>
      <c r="AE62" s="28">
        <f>AE57-AE60</f>
        <v/>
      </c>
      <c r="AF62" s="28">
        <f>AF57-AF60</f>
        <v/>
      </c>
      <c r="AG62" s="28">
        <f>AG57-AG60</f>
        <v/>
      </c>
      <c r="AH62" s="28">
        <f>AH57-AH60</f>
        <v/>
      </c>
      <c r="AI62" s="28">
        <f>AI57-AI60</f>
        <v/>
      </c>
      <c r="AJ62" s="28">
        <f>AJ57-AJ60</f>
        <v/>
      </c>
      <c r="AK62" s="28">
        <f>AK57-AK60</f>
        <v/>
      </c>
      <c r="AL62" s="28">
        <f>AL57-AL60</f>
        <v/>
      </c>
      <c r="AM62" s="28">
        <f>AM57-AM60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AQ65"/>
  <sheetViews>
    <sheetView workbookViewId="0">
      <selection activeCell="A1" sqref="A1:J1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适度情景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94000</v>
      </c>
      <c r="F13" s="18" t="n">
        <v>92500</v>
      </c>
      <c r="G13" s="18" t="n">
        <v>91000</v>
      </c>
      <c r="H13" s="18" t="n">
        <v>89500</v>
      </c>
      <c r="I13" s="18" t="n">
        <v>88000</v>
      </c>
      <c r="J13" s="18" t="n">
        <v>86800</v>
      </c>
      <c r="K13" s="18" t="n">
        <v>85600</v>
      </c>
      <c r="L13" s="18" t="n">
        <v>84400</v>
      </c>
      <c r="M13" s="18" t="n">
        <v>83200</v>
      </c>
      <c r="N13" s="18" t="n">
        <v>82000</v>
      </c>
      <c r="O13" s="18" t="n">
        <v>81200</v>
      </c>
      <c r="P13" s="18" t="n">
        <v>80500</v>
      </c>
      <c r="Q13" s="18" t="n">
        <v>79800</v>
      </c>
      <c r="R13" s="18" t="n">
        <v>79200</v>
      </c>
      <c r="S13" s="18" t="n">
        <v>78600</v>
      </c>
      <c r="T13" s="18" t="n">
        <v>78000</v>
      </c>
      <c r="U13" s="18" t="n">
        <v>77400</v>
      </c>
      <c r="V13" s="18" t="n">
        <v>76800</v>
      </c>
      <c r="W13" s="18" t="n">
        <v>76200</v>
      </c>
      <c r="X13" s="18" t="n">
        <v>75600</v>
      </c>
      <c r="Y13" s="18" t="n">
        <v>75000</v>
      </c>
      <c r="Z13" s="18" t="n">
        <v>74500</v>
      </c>
      <c r="AA13" s="18" t="n">
        <v>74000</v>
      </c>
      <c r="AB13" s="18" t="n">
        <v>73500</v>
      </c>
      <c r="AC13" s="18" t="n">
        <v>73000</v>
      </c>
      <c r="AD13" s="18" t="n">
        <v>72300</v>
      </c>
      <c r="AE13" s="18" t="n">
        <v>71600</v>
      </c>
      <c r="AF13" s="18" t="n">
        <v>70900</v>
      </c>
      <c r="AG13" s="18" t="n">
        <v>70200</v>
      </c>
      <c r="AH13" s="18" t="n">
        <v>69500</v>
      </c>
      <c r="AI13" s="18" t="n">
        <v>68800</v>
      </c>
      <c r="AJ13" s="18" t="n">
        <v>68200</v>
      </c>
      <c r="AK13" s="18" t="n">
        <v>67600</v>
      </c>
      <c r="AL13" s="18" t="n">
        <v>67100</v>
      </c>
      <c r="AM13" s="18" t="n">
        <v>66600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10.32568060281964</v>
      </c>
      <c r="E15" s="42" t="n">
        <v>10.5551618862421</v>
      </c>
      <c r="F15" s="42" t="n">
        <v>10.72788915896937</v>
      </c>
      <c r="G15" s="42" t="n">
        <v>10.88330772970345</v>
      </c>
      <c r="H15" s="42" t="n">
        <v>11.06086290714633</v>
      </c>
      <c r="I15" s="42" t="n">
        <v>11.3</v>
      </c>
      <c r="J15" s="42" t="n">
        <v>11.64016431696646</v>
      </c>
      <c r="K15" s="42" t="n">
        <v>12.12080116674769</v>
      </c>
      <c r="L15" s="42" t="n">
        <v>12.7813558580457</v>
      </c>
      <c r="M15" s="42" t="n">
        <v>13.66127369956247</v>
      </c>
      <c r="N15" s="42" t="n">
        <v>14.8</v>
      </c>
      <c r="O15" s="42" t="n">
        <v>16.22212931453574</v>
      </c>
      <c r="P15" s="42" t="n">
        <v>17.89285318424891</v>
      </c>
      <c r="Q15" s="42" t="n">
        <v>19.76251239669421</v>
      </c>
      <c r="R15" s="42" t="n">
        <v>21.78144773942635</v>
      </c>
      <c r="S15" s="42" t="n">
        <v>23.9</v>
      </c>
      <c r="T15" s="42" t="n">
        <v>26.0731705396208</v>
      </c>
      <c r="U15" s="42" t="n">
        <v>28.2746030140982</v>
      </c>
      <c r="V15" s="42" t="n">
        <v>30.48260165289256</v>
      </c>
      <c r="W15" s="42" t="n">
        <v>32.67547068546426</v>
      </c>
      <c r="X15" s="42" t="n">
        <v>34.8315143412737</v>
      </c>
      <c r="Y15" s="42" t="n">
        <v>36.92903684978123</v>
      </c>
      <c r="Z15" s="42" t="n">
        <v>38.94634244044725</v>
      </c>
      <c r="AA15" s="42" t="n">
        <v>40.86173534273213</v>
      </c>
      <c r="AB15" s="42" t="n">
        <v>42.65351978609625</v>
      </c>
      <c r="AC15" s="42" t="n">
        <v>44.3</v>
      </c>
      <c r="AD15" s="42" t="n">
        <v>45.77948021390375</v>
      </c>
      <c r="AE15" s="42" t="n">
        <v>47.07026465726786</v>
      </c>
      <c r="AF15" s="42" t="n">
        <v>48</v>
      </c>
      <c r="AG15" s="42" t="n">
        <v>48</v>
      </c>
      <c r="AH15" s="42" t="n">
        <v>48</v>
      </c>
      <c r="AI15" s="42" t="n">
        <v>48</v>
      </c>
      <c r="AJ15" s="42" t="n">
        <v>48</v>
      </c>
      <c r="AK15" s="42" t="n">
        <v>48</v>
      </c>
      <c r="AL15" s="42" t="n">
        <v>48</v>
      </c>
      <c r="AM15" s="42" t="n">
        <v>48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1.17175498298493</v>
      </c>
      <c r="E16" s="17" t="n">
        <v>1.288781720952844</v>
      </c>
      <c r="F16" s="17" t="n">
        <v>1.370599902771026</v>
      </c>
      <c r="G16" s="17" t="n">
        <v>1.436729217306758</v>
      </c>
      <c r="H16" s="17" t="n">
        <v>1.506689353427321</v>
      </c>
      <c r="I16" s="17" t="n">
        <v>1.6</v>
      </c>
      <c r="J16" s="17" t="n">
        <v>1.736180845892076</v>
      </c>
      <c r="K16" s="17" t="n">
        <v>1.934751579970831</v>
      </c>
      <c r="L16" s="17" t="n">
        <v>2.215231891103549</v>
      </c>
      <c r="M16" s="17" t="n">
        <v>2.597141468157511</v>
      </c>
      <c r="N16" s="17" t="n">
        <v>3.1</v>
      </c>
      <c r="O16" s="17" t="n">
        <v>3.736033446767137</v>
      </c>
      <c r="P16" s="17" t="n">
        <v>4.488292853670393</v>
      </c>
      <c r="Q16" s="17" t="n">
        <v>5.332535537190082</v>
      </c>
      <c r="R16" s="17" t="n">
        <v>6.244518813806514</v>
      </c>
      <c r="S16" s="17" t="n">
        <v>7.2</v>
      </c>
      <c r="T16" s="17" t="n">
        <v>8.177222605736508</v>
      </c>
      <c r="U16" s="17" t="n">
        <v>9.164374914924647</v>
      </c>
      <c r="V16" s="17" t="n">
        <v>10.15213140495868</v>
      </c>
      <c r="W16" s="17" t="n">
        <v>11.13116655323286</v>
      </c>
      <c r="X16" s="17" t="n">
        <v>12.09215483714147</v>
      </c>
      <c r="Y16" s="17" t="n">
        <v>13.02577073407875</v>
      </c>
      <c r="Z16" s="17" t="n">
        <v>13.92268872143899</v>
      </c>
      <c r="AA16" s="17" t="n">
        <v>14.77358327661643</v>
      </c>
      <c r="AB16" s="17" t="n">
        <v>15.56912887700535</v>
      </c>
      <c r="AC16" s="17" t="n">
        <v>16.3</v>
      </c>
      <c r="AD16" s="17" t="n">
        <v>16.95687112299466</v>
      </c>
      <c r="AE16" s="17" t="n">
        <v>17.53041672338357</v>
      </c>
      <c r="AF16" s="17" t="n">
        <v>18</v>
      </c>
      <c r="AG16" s="17" t="n">
        <v>18</v>
      </c>
      <c r="AH16" s="17" t="n">
        <v>18</v>
      </c>
      <c r="AI16" s="17" t="n">
        <v>18</v>
      </c>
      <c r="AJ16" s="17" t="n">
        <v>18</v>
      </c>
      <c r="AK16" s="17" t="n">
        <v>18</v>
      </c>
      <c r="AL16" s="17" t="n">
        <v>18</v>
      </c>
      <c r="AM16" s="17" t="n">
        <v>18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长流程产量(万吨)</t>
        </is>
      </c>
      <c r="B18" s="7">
        <f>长流程产量公式</f>
        <v/>
      </c>
      <c r="C18" s="20">
        <f>C13*C17</f>
        <v/>
      </c>
      <c r="D18" s="20">
        <f>D13*D17</f>
        <v/>
      </c>
      <c r="E18" s="20">
        <f>E13*E17</f>
        <v/>
      </c>
      <c r="F18" s="20">
        <f>F13*F17</f>
        <v/>
      </c>
      <c r="G18" s="20">
        <f>G13*G17</f>
        <v/>
      </c>
      <c r="H18" s="20">
        <f>H13*H17</f>
        <v/>
      </c>
      <c r="I18" s="20">
        <f>I13*I17</f>
        <v/>
      </c>
      <c r="J18" s="20">
        <f>J13*J17</f>
        <v/>
      </c>
      <c r="K18" s="20">
        <f>K13*K17</f>
        <v/>
      </c>
      <c r="L18" s="20">
        <f>L13*L17</f>
        <v/>
      </c>
      <c r="M18" s="20">
        <f>M13*M17</f>
        <v/>
      </c>
      <c r="N18" s="20">
        <f>N13*N17</f>
        <v/>
      </c>
      <c r="O18" s="20">
        <f>O13*O17</f>
        <v/>
      </c>
      <c r="P18" s="20">
        <f>P13*P17</f>
        <v/>
      </c>
      <c r="Q18" s="20">
        <f>Q13*Q17</f>
        <v/>
      </c>
      <c r="R18" s="20">
        <f>R13*R17</f>
        <v/>
      </c>
      <c r="S18" s="20">
        <f>S13*S17</f>
        <v/>
      </c>
      <c r="T18" s="20">
        <f>T13*T17</f>
        <v/>
      </c>
      <c r="U18" s="20">
        <f>U13*U17</f>
        <v/>
      </c>
      <c r="V18" s="20">
        <f>V13*V17</f>
        <v/>
      </c>
      <c r="W18" s="20">
        <f>W13*W17</f>
        <v/>
      </c>
      <c r="X18" s="20">
        <f>X13*X17</f>
        <v/>
      </c>
      <c r="Y18" s="20">
        <f>Y13*Y17</f>
        <v/>
      </c>
      <c r="Z18" s="20">
        <f>Z13*Z17</f>
        <v/>
      </c>
      <c r="AA18" s="20">
        <f>AA13*AA17</f>
        <v/>
      </c>
      <c r="AB18" s="20">
        <f>AB13*AB17</f>
        <v/>
      </c>
      <c r="AC18" s="20">
        <f>AC13*AC17</f>
        <v/>
      </c>
      <c r="AD18" s="20">
        <f>AD13*AD17</f>
        <v/>
      </c>
      <c r="AE18" s="20">
        <f>AE13*AE17</f>
        <v/>
      </c>
      <c r="AF18" s="20">
        <f>AF13*AF17</f>
        <v/>
      </c>
      <c r="AG18" s="20">
        <f>AG13*AG17</f>
        <v/>
      </c>
      <c r="AH18" s="20">
        <f>AH13*AH17</f>
        <v/>
      </c>
      <c r="AI18" s="20">
        <f>AI13*AI17</f>
        <v/>
      </c>
      <c r="AJ18" s="20">
        <f>AJ13*AJ17</f>
        <v/>
      </c>
      <c r="AK18" s="20">
        <f>AK13*AK17</f>
        <v/>
      </c>
      <c r="AL18" s="20">
        <f>AL13*AL17</f>
        <v/>
      </c>
      <c r="AM18" s="20">
        <f>AM13*AM17</f>
        <v/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短流程产量(万吨)</t>
        </is>
      </c>
      <c r="B19" s="7">
        <f>短流程产量公式</f>
        <v/>
      </c>
      <c r="C19" s="20">
        <f>C13*C15/100</f>
        <v/>
      </c>
      <c r="D19" s="20">
        <f>D13*D15/100</f>
        <v/>
      </c>
      <c r="E19" s="20">
        <f>E13*E15/100</f>
        <v/>
      </c>
      <c r="F19" s="20">
        <f>F13*F15/100</f>
        <v/>
      </c>
      <c r="G19" s="20">
        <f>G13*G15/100</f>
        <v/>
      </c>
      <c r="H19" s="20">
        <f>H13*H15/100</f>
        <v/>
      </c>
      <c r="I19" s="20">
        <f>I13*I15/100</f>
        <v/>
      </c>
      <c r="J19" s="20">
        <f>J13*J15/100</f>
        <v/>
      </c>
      <c r="K19" s="20">
        <f>K13*K15/100</f>
        <v/>
      </c>
      <c r="L19" s="20">
        <f>L13*L15/100</f>
        <v/>
      </c>
      <c r="M19" s="20">
        <f>M13*M15/100</f>
        <v/>
      </c>
      <c r="N19" s="20">
        <f>N13*N15/100</f>
        <v/>
      </c>
      <c r="O19" s="20">
        <f>O13*O15/100</f>
        <v/>
      </c>
      <c r="P19" s="20">
        <f>P13*P15/100</f>
        <v/>
      </c>
      <c r="Q19" s="20">
        <f>Q13*Q15/100</f>
        <v/>
      </c>
      <c r="R19" s="20">
        <f>R13*R15/100</f>
        <v/>
      </c>
      <c r="S19" s="20">
        <f>S13*S15/100</f>
        <v/>
      </c>
      <c r="T19" s="20">
        <f>T13*T15/100</f>
        <v/>
      </c>
      <c r="U19" s="20">
        <f>U13*U15/100</f>
        <v/>
      </c>
      <c r="V19" s="20">
        <f>V13*V15/100</f>
        <v/>
      </c>
      <c r="W19" s="20">
        <f>W13*W15/100</f>
        <v/>
      </c>
      <c r="X19" s="20">
        <f>X13*X15/100</f>
        <v/>
      </c>
      <c r="Y19" s="20">
        <f>Y13*Y15/100</f>
        <v/>
      </c>
      <c r="Z19" s="20">
        <f>Z13*Z15/100</f>
        <v/>
      </c>
      <c r="AA19" s="20">
        <f>AA13*AA15/100</f>
        <v/>
      </c>
      <c r="AB19" s="20">
        <f>AB13*AB15/100</f>
        <v/>
      </c>
      <c r="AC19" s="20">
        <f>AC13*AC15/100</f>
        <v/>
      </c>
      <c r="AD19" s="20">
        <f>AD13*AD15/100</f>
        <v/>
      </c>
      <c r="AE19" s="20">
        <f>AE13*AE15/100</f>
        <v/>
      </c>
      <c r="AF19" s="20">
        <f>AF13*AF15/100</f>
        <v/>
      </c>
      <c r="AG19" s="20">
        <f>AG13*AG15/100</f>
        <v/>
      </c>
      <c r="AH19" s="20">
        <f>AH13*AH15/100</f>
        <v/>
      </c>
      <c r="AI19" s="20">
        <f>AI13*AI15/100</f>
        <v/>
      </c>
      <c r="AJ19" s="20">
        <f>AJ13*AJ15/100</f>
        <v/>
      </c>
      <c r="AK19" s="20">
        <f>AK13*AK15/100</f>
        <v/>
      </c>
      <c r="AL19" s="20">
        <f>AL13*AL15/100</f>
        <v/>
      </c>
      <c r="AM19" s="20">
        <f>AM13*AM15/100</f>
        <v/>
      </c>
    </row>
    <row r="20" ht="17" customHeight="1">
      <c r="A20" s="2" t="inlineStr">
        <is>
          <t>氢冶金产量(万吨)</t>
        </is>
      </c>
      <c r="B20" s="7">
        <f>氢冶金产量公式</f>
        <v/>
      </c>
      <c r="C20" s="20">
        <f>C13*C16/100</f>
        <v/>
      </c>
      <c r="D20" s="20">
        <f>D13*D16/100</f>
        <v/>
      </c>
      <c r="E20" s="20">
        <f>E13*E16/100</f>
        <v/>
      </c>
      <c r="F20" s="20">
        <f>F13*F16/100</f>
        <v/>
      </c>
      <c r="G20" s="20">
        <f>G13*G16/100</f>
        <v/>
      </c>
      <c r="H20" s="20">
        <f>H13*H16/100</f>
        <v/>
      </c>
      <c r="I20" s="20">
        <f>I13*I16/100</f>
        <v/>
      </c>
      <c r="J20" s="20">
        <f>J13*J16/100</f>
        <v/>
      </c>
      <c r="K20" s="20">
        <f>K13*K16/100</f>
        <v/>
      </c>
      <c r="L20" s="20">
        <f>L13*L16/100</f>
        <v/>
      </c>
      <c r="M20" s="20">
        <f>M13*M16/100</f>
        <v/>
      </c>
      <c r="N20" s="20">
        <f>N13*N16/100</f>
        <v/>
      </c>
      <c r="O20" s="20">
        <f>O13*O16/100</f>
        <v/>
      </c>
      <c r="P20" s="20">
        <f>P13*P16/100</f>
        <v/>
      </c>
      <c r="Q20" s="20">
        <f>Q13*Q16/100</f>
        <v/>
      </c>
      <c r="R20" s="20">
        <f>R13*R16/100</f>
        <v/>
      </c>
      <c r="S20" s="20">
        <f>S13*S16/100</f>
        <v/>
      </c>
      <c r="T20" s="20">
        <f>T13*T16/100</f>
        <v/>
      </c>
      <c r="U20" s="20">
        <f>U13*U16/100</f>
        <v/>
      </c>
      <c r="V20" s="20">
        <f>V13*V16/100</f>
        <v/>
      </c>
      <c r="W20" s="20">
        <f>W13*W16/100</f>
        <v/>
      </c>
      <c r="X20" s="20">
        <f>X13*X16/100</f>
        <v/>
      </c>
      <c r="Y20" s="20">
        <f>Y13*Y16/100</f>
        <v/>
      </c>
      <c r="Z20" s="20">
        <f>Z13*Z16/100</f>
        <v/>
      </c>
      <c r="AA20" s="20">
        <f>AA13*AA16/100</f>
        <v/>
      </c>
      <c r="AB20" s="20">
        <f>AB13*AB16/100</f>
        <v/>
      </c>
      <c r="AC20" s="20">
        <f>AC13*AC16/100</f>
        <v/>
      </c>
      <c r="AD20" s="20">
        <f>AD13*AD16/100</f>
        <v/>
      </c>
      <c r="AE20" s="20">
        <f>AE13*AE16/100</f>
        <v/>
      </c>
      <c r="AF20" s="20">
        <f>AF13*AF16/100</f>
        <v/>
      </c>
      <c r="AG20" s="20">
        <f>AG13*AG16/100</f>
        <v/>
      </c>
      <c r="AH20" s="20">
        <f>AH13*AH16/100</f>
        <v/>
      </c>
      <c r="AI20" s="20">
        <f>AI13*AI16/100</f>
        <v/>
      </c>
      <c r="AJ20" s="20">
        <f>AJ13*AJ16/100</f>
        <v/>
      </c>
      <c r="AK20" s="20">
        <f>AK13*AK16/100</f>
        <v/>
      </c>
      <c r="AL20" s="20">
        <f>AL13*AL16/100</f>
        <v/>
      </c>
      <c r="AM20" s="20">
        <f>AM13*AM16/100</f>
        <v/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28808</v>
      </c>
      <c r="D22" s="21" t="n">
        <v>28229</v>
      </c>
      <c r="E22" s="21" t="n">
        <v>29969</v>
      </c>
      <c r="F22" s="21" t="n">
        <v>29387</v>
      </c>
      <c r="G22" s="21" t="n">
        <v>29387</v>
      </c>
      <c r="H22" s="21" t="n">
        <v>28789</v>
      </c>
      <c r="I22" s="21" t="n">
        <v>32769</v>
      </c>
      <c r="J22" s="21" t="n">
        <v>34491</v>
      </c>
      <c r="K22" s="21" t="n">
        <v>36732</v>
      </c>
      <c r="L22" s="21" t="n">
        <v>37921</v>
      </c>
      <c r="M22" s="21" t="n">
        <v>40610</v>
      </c>
      <c r="N22" s="21" t="n">
        <v>41361</v>
      </c>
      <c r="O22" s="21" t="n">
        <v>39766</v>
      </c>
      <c r="P22" s="21" t="n">
        <v>40502</v>
      </c>
      <c r="Q22" s="21" t="n">
        <v>43587</v>
      </c>
      <c r="R22" s="21" t="n">
        <v>48920</v>
      </c>
      <c r="S22" s="21" t="n">
        <v>49354</v>
      </c>
      <c r="T22" s="21" t="n">
        <v>53285</v>
      </c>
      <c r="U22" s="21" t="n">
        <v>53684</v>
      </c>
      <c r="V22" s="21" t="n">
        <v>57951</v>
      </c>
      <c r="W22" s="21" t="n">
        <v>57041</v>
      </c>
      <c r="X22" s="21" t="n">
        <v>57897</v>
      </c>
      <c r="Y22" s="21" t="n">
        <v>58206</v>
      </c>
      <c r="Z22" s="21" t="n">
        <v>58406</v>
      </c>
      <c r="AA22" s="21" t="n">
        <v>58447</v>
      </c>
      <c r="AB22" s="21" t="n">
        <v>58384</v>
      </c>
      <c r="AC22" s="21" t="n">
        <v>58168</v>
      </c>
      <c r="AD22" s="21" t="n">
        <v>57730</v>
      </c>
      <c r="AE22" s="21" t="n">
        <v>57366</v>
      </c>
      <c r="AF22" s="21" t="n">
        <v>57787</v>
      </c>
      <c r="AG22" s="21" t="n">
        <v>57476</v>
      </c>
      <c r="AH22" s="21" t="n">
        <v>57995</v>
      </c>
      <c r="AI22" s="21" t="n">
        <v>56989</v>
      </c>
      <c r="AJ22" s="21" t="n">
        <v>55995</v>
      </c>
      <c r="AK22" s="21" t="n">
        <v>55102</v>
      </c>
      <c r="AL22" s="21" t="n">
        <v>54192</v>
      </c>
      <c r="AM22" s="21" t="n">
        <v>53288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C18*0.3</f>
        <v/>
      </c>
      <c r="D23" s="20">
        <f>D18*0.3</f>
        <v/>
      </c>
      <c r="E23" s="20">
        <f>E18*0.3</f>
        <v/>
      </c>
      <c r="F23" s="20">
        <f>F18*0.3</f>
        <v/>
      </c>
      <c r="G23" s="20">
        <f>G18*0.3</f>
        <v/>
      </c>
      <c r="H23" s="20">
        <f>H18*0.3</f>
        <v/>
      </c>
      <c r="I23" s="20">
        <f>I18*0.3</f>
        <v/>
      </c>
      <c r="J23" s="20">
        <f>J18*0.3</f>
        <v/>
      </c>
      <c r="K23" s="20">
        <f>K18*0.3</f>
        <v/>
      </c>
      <c r="L23" s="20">
        <f>L18*0.3</f>
        <v/>
      </c>
      <c r="M23" s="20">
        <f>M18*0.3</f>
        <v/>
      </c>
      <c r="N23" s="20">
        <f>N18*0.3</f>
        <v/>
      </c>
      <c r="O23" s="20">
        <f>O18*0.3</f>
        <v/>
      </c>
      <c r="P23" s="20">
        <f>P18*0.3</f>
        <v/>
      </c>
      <c r="Q23" s="20">
        <f>Q18*0.3</f>
        <v/>
      </c>
      <c r="R23" s="20">
        <f>R18*0.3</f>
        <v/>
      </c>
      <c r="S23" s="20">
        <f>S18*0.3</f>
        <v/>
      </c>
      <c r="T23" s="20">
        <f>T18*0.3</f>
        <v/>
      </c>
      <c r="U23" s="20">
        <f>U18*0.3</f>
        <v/>
      </c>
      <c r="V23" s="20">
        <f>V18*0.3</f>
        <v/>
      </c>
      <c r="W23" s="20">
        <f>W18*0.3</f>
        <v/>
      </c>
      <c r="X23" s="20">
        <f>X18*0.3</f>
        <v/>
      </c>
      <c r="Y23" s="20">
        <f>Y18*0.3</f>
        <v/>
      </c>
      <c r="Z23" s="20">
        <f>Z18*0.3</f>
        <v/>
      </c>
      <c r="AA23" s="20">
        <f>AA18*0.3</f>
        <v/>
      </c>
      <c r="AB23" s="20">
        <f>AB18*0.3</f>
        <v/>
      </c>
      <c r="AC23" s="20">
        <f>AC18*0.3</f>
        <v/>
      </c>
      <c r="AD23" s="20">
        <f>AD18*0.3</f>
        <v/>
      </c>
      <c r="AE23" s="20">
        <f>AE18*0.3</f>
        <v/>
      </c>
      <c r="AF23" s="20">
        <f>AF18*0.3</f>
        <v/>
      </c>
      <c r="AG23" s="20">
        <f>AG18*0.3</f>
        <v/>
      </c>
      <c r="AH23" s="20">
        <f>AH18*0.3</f>
        <v/>
      </c>
      <c r="AI23" s="20">
        <f>AI18*0.3</f>
        <v/>
      </c>
      <c r="AJ23" s="20">
        <f>AJ18*0.3</f>
        <v/>
      </c>
      <c r="AK23" s="20">
        <f>AK18*0.3</f>
        <v/>
      </c>
      <c r="AL23" s="20">
        <f>AL18*0.3</f>
        <v/>
      </c>
      <c r="AM23" s="20">
        <f>AM18*0.3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inlineStr">
        <is>
          <t>长流程矿石消耗量(万吨)</t>
        </is>
      </c>
      <c r="B24" s="7" t="inlineStr">
        <is>
          <t>铁素资源公式</t>
        </is>
      </c>
      <c r="C24" s="20">
        <f>(C18-C23/1.1)*1.053*1.65</f>
        <v/>
      </c>
      <c r="D24" s="20">
        <f>(D18-D23/1.1)*1.053*1.65</f>
        <v/>
      </c>
      <c r="E24" s="20">
        <f>(E18-E23/1.1)*1.053*1.65</f>
        <v/>
      </c>
      <c r="F24" s="20">
        <f>(F18-F23/1.1)*1.053*1.65</f>
        <v/>
      </c>
      <c r="G24" s="20">
        <f>(G18-G23/1.1)*1.053*1.65</f>
        <v/>
      </c>
      <c r="H24" s="20">
        <f>(H18-H23/1.1)*1.053*1.65</f>
        <v/>
      </c>
      <c r="I24" s="20">
        <f>(I18-I23/1.1)*1.053*1.65</f>
        <v/>
      </c>
      <c r="J24" s="20">
        <f>(J18-J23/1.1)*1.053*1.65</f>
        <v/>
      </c>
      <c r="K24" s="20">
        <f>(K18-K23/1.1)*1.053*1.65</f>
        <v/>
      </c>
      <c r="L24" s="20">
        <f>(L18-L23/1.1)*1.053*1.65</f>
        <v/>
      </c>
      <c r="M24" s="20">
        <f>(M18-M23/1.1)*1.053*1.65</f>
        <v/>
      </c>
      <c r="N24" s="20">
        <f>(N18-N23/1.1)*1.053*1.65</f>
        <v/>
      </c>
      <c r="O24" s="20">
        <f>(O18-O23/1.1)*1.053*1.65</f>
        <v/>
      </c>
      <c r="P24" s="20">
        <f>(P18-P23/1.1)*1.053*1.65</f>
        <v/>
      </c>
      <c r="Q24" s="20">
        <f>(Q18-Q23/1.1)*1.053*1.65</f>
        <v/>
      </c>
      <c r="R24" s="20">
        <f>(R18-R23/1.1)*1.053*1.65</f>
        <v/>
      </c>
      <c r="S24" s="20">
        <f>(S18-S23/1.1)*1.053*1.65</f>
        <v/>
      </c>
      <c r="T24" s="20">
        <f>(T18-T23/1.1)*1.053*1.65</f>
        <v/>
      </c>
      <c r="U24" s="20">
        <f>(U18-U23/1.1)*1.053*1.65</f>
        <v/>
      </c>
      <c r="V24" s="20">
        <f>(V18-V23/1.1)*1.053*1.65</f>
        <v/>
      </c>
      <c r="W24" s="20">
        <f>(W18-W23/1.1)*1.053*1.65</f>
        <v/>
      </c>
      <c r="X24" s="20">
        <f>(X18-X23/1.1)*1.053*1.65</f>
        <v/>
      </c>
      <c r="Y24" s="20">
        <f>(Y18-Y23/1.1)*1.053*1.65</f>
        <v/>
      </c>
      <c r="Z24" s="20">
        <f>(Z18-Z23/1.1)*1.053*1.65</f>
        <v/>
      </c>
      <c r="AA24" s="20">
        <f>(AA18-AA23/1.1)*1.053*1.65</f>
        <v/>
      </c>
      <c r="AB24" s="20">
        <f>(AB18-AB23/1.1)*1.053*1.65</f>
        <v/>
      </c>
      <c r="AC24" s="20">
        <f>(AC18-AC23/1.1)*1.053*1.65</f>
        <v/>
      </c>
      <c r="AD24" s="20">
        <f>(AD18-AD23/1.1)*1.053*1.65</f>
        <v/>
      </c>
      <c r="AE24" s="20">
        <f>(AE18-AE23/1.1)*1.053*1.65</f>
        <v/>
      </c>
      <c r="AF24" s="20">
        <f>(AF18-AF23/1.1)*1.053*1.65</f>
        <v/>
      </c>
      <c r="AG24" s="20">
        <f>(AG18-AG23/1.1)*1.053*1.65</f>
        <v/>
      </c>
      <c r="AH24" s="20">
        <f>(AH18-AH23/1.1)*1.053*1.65</f>
        <v/>
      </c>
      <c r="AI24" s="20">
        <f>(AI18-AI23/1.1)*1.053*1.65</f>
        <v/>
      </c>
      <c r="AJ24" s="20">
        <f>(AJ18-AJ23/1.1)*1.053*1.65</f>
        <v/>
      </c>
      <c r="AK24" s="20">
        <f>(AK18-AK23/1.1)*1.053*1.65</f>
        <v/>
      </c>
      <c r="AL24" s="20">
        <f>(AL18-AL23/1.1)*1.053*1.65</f>
        <v/>
      </c>
      <c r="AM24" s="20">
        <f>(AM18-AM23/1.1)*1.053*1.65</f>
        <v/>
      </c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C19*1.1</f>
        <v/>
      </c>
      <c r="D25" s="20">
        <f>D19*1.1</f>
        <v/>
      </c>
      <c r="E25" s="20">
        <f>E19*1.1</f>
        <v/>
      </c>
      <c r="F25" s="20">
        <f>F19*1.1</f>
        <v/>
      </c>
      <c r="G25" s="20">
        <f>G19*1.1</f>
        <v/>
      </c>
      <c r="H25" s="20">
        <f>H19*1.1</f>
        <v/>
      </c>
      <c r="I25" s="20">
        <f>I19*1.1</f>
        <v/>
      </c>
      <c r="J25" s="20">
        <f>J19*1.1</f>
        <v/>
      </c>
      <c r="K25" s="20">
        <f>K19*1.1</f>
        <v/>
      </c>
      <c r="L25" s="20">
        <f>L19*1.1</f>
        <v/>
      </c>
      <c r="M25" s="20">
        <f>M19*1.1</f>
        <v/>
      </c>
      <c r="N25" s="20">
        <f>N19*1.1</f>
        <v/>
      </c>
      <c r="O25" s="20">
        <f>O19*1.1</f>
        <v/>
      </c>
      <c r="P25" s="20">
        <f>P19*1.1</f>
        <v/>
      </c>
      <c r="Q25" s="20">
        <f>Q19*1.1</f>
        <v/>
      </c>
      <c r="R25" s="20">
        <f>R19*1.1</f>
        <v/>
      </c>
      <c r="S25" s="20">
        <f>S19*1.1</f>
        <v/>
      </c>
      <c r="T25" s="20">
        <f>T19*1.1</f>
        <v/>
      </c>
      <c r="U25" s="20">
        <f>U19*1.1</f>
        <v/>
      </c>
      <c r="V25" s="20">
        <f>V19*1.1</f>
        <v/>
      </c>
      <c r="W25" s="20">
        <f>W19*1.1</f>
        <v/>
      </c>
      <c r="X25" s="20">
        <f>X19*1.1</f>
        <v/>
      </c>
      <c r="Y25" s="20">
        <f>Y19*1.1</f>
        <v/>
      </c>
      <c r="Z25" s="20">
        <f>Z19*1.1</f>
        <v/>
      </c>
      <c r="AA25" s="20">
        <f>AA19*1.1</f>
        <v/>
      </c>
      <c r="AB25" s="20">
        <f>AB19*1.1</f>
        <v/>
      </c>
      <c r="AC25" s="20">
        <f>AC19*1.1</f>
        <v/>
      </c>
      <c r="AD25" s="20">
        <f>AD19*1.1</f>
        <v/>
      </c>
      <c r="AE25" s="20">
        <f>AE19*1.1</f>
        <v/>
      </c>
      <c r="AF25" s="20">
        <f>AF19*1.1</f>
        <v/>
      </c>
      <c r="AG25" s="20">
        <f>AG19*1.1</f>
        <v/>
      </c>
      <c r="AH25" s="20">
        <f>AH19*1.1</f>
        <v/>
      </c>
      <c r="AI25" s="20">
        <f>AI19*1.1</f>
        <v/>
      </c>
      <c r="AJ25" s="20">
        <f>AJ19*1.1</f>
        <v/>
      </c>
      <c r="AK25" s="20">
        <f>AK19*1.1</f>
        <v/>
      </c>
      <c r="AL25" s="20">
        <f>AL19*1.1</f>
        <v/>
      </c>
      <c r="AM25" s="20">
        <f>AM19*1.1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C20*0.5</f>
        <v/>
      </c>
      <c r="D26" s="20">
        <f>D20*0.5</f>
        <v/>
      </c>
      <c r="E26" s="20">
        <f>E20*0.5</f>
        <v/>
      </c>
      <c r="F26" s="20">
        <f>F20*0.5</f>
        <v/>
      </c>
      <c r="G26" s="20">
        <f>G20*0.5</f>
        <v/>
      </c>
      <c r="H26" s="20">
        <f>H20*0.5</f>
        <v/>
      </c>
      <c r="I26" s="20">
        <f>I20*0.5</f>
        <v/>
      </c>
      <c r="J26" s="20">
        <f>J20*0.5</f>
        <v/>
      </c>
      <c r="K26" s="20">
        <f>K20*0.5</f>
        <v/>
      </c>
      <c r="L26" s="20">
        <f>L20*0.5</f>
        <v/>
      </c>
      <c r="M26" s="20">
        <f>M20*0.5</f>
        <v/>
      </c>
      <c r="N26" s="20">
        <f>N20*0.5</f>
        <v/>
      </c>
      <c r="O26" s="20">
        <f>O20*0.5</f>
        <v/>
      </c>
      <c r="P26" s="20">
        <f>P20*0.5</f>
        <v/>
      </c>
      <c r="Q26" s="20">
        <f>Q20*0.5</f>
        <v/>
      </c>
      <c r="R26" s="20">
        <f>R20*0.5</f>
        <v/>
      </c>
      <c r="S26" s="20">
        <f>S20*0.5</f>
        <v/>
      </c>
      <c r="T26" s="20">
        <f>T20*0.5</f>
        <v/>
      </c>
      <c r="U26" s="20">
        <f>U20*0.5</f>
        <v/>
      </c>
      <c r="V26" s="20">
        <f>V20*0.5</f>
        <v/>
      </c>
      <c r="W26" s="20">
        <f>W20*0.5</f>
        <v/>
      </c>
      <c r="X26" s="20">
        <f>X20*0.5</f>
        <v/>
      </c>
      <c r="Y26" s="20">
        <f>Y20*0.5</f>
        <v/>
      </c>
      <c r="Z26" s="20">
        <f>Z20*0.5</f>
        <v/>
      </c>
      <c r="AA26" s="20">
        <f>AA20*0.5</f>
        <v/>
      </c>
      <c r="AB26" s="20">
        <f>AB20*0.5</f>
        <v/>
      </c>
      <c r="AC26" s="20">
        <f>AC20*0.5</f>
        <v/>
      </c>
      <c r="AD26" s="20">
        <f>AD20*0.5</f>
        <v/>
      </c>
      <c r="AE26" s="20">
        <f>AE20*0.5</f>
        <v/>
      </c>
      <c r="AF26" s="20">
        <f>AF20*0.5</f>
        <v/>
      </c>
      <c r="AG26" s="20">
        <f>AG20*0.5</f>
        <v/>
      </c>
      <c r="AH26" s="20">
        <f>AH20*0.5</f>
        <v/>
      </c>
      <c r="AI26" s="20">
        <f>AI20*0.5</f>
        <v/>
      </c>
      <c r="AJ26" s="20">
        <f>AJ20*0.5</f>
        <v/>
      </c>
      <c r="AK26" s="20">
        <f>AK20*0.5</f>
        <v/>
      </c>
      <c r="AL26" s="20">
        <f>AL20*0.5</f>
        <v/>
      </c>
      <c r="AM26" s="20">
        <f>AM20*0.5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inlineStr">
        <is>
          <t>氢冶金矿石消耗量(万吨)</t>
        </is>
      </c>
      <c r="B27" s="7" t="inlineStr">
        <is>
          <t>铁素资源公式</t>
        </is>
      </c>
      <c r="C27" s="20">
        <f>(C20-C26/1.1)*1.053*1.65</f>
        <v/>
      </c>
      <c r="D27" s="20">
        <f>(D20-D26/1.1)*1.053*1.65</f>
        <v/>
      </c>
      <c r="E27" s="20">
        <f>(E20-E26/1.1)*1.053*1.65</f>
        <v/>
      </c>
      <c r="F27" s="20">
        <f>(F20-F26/1.1)*1.053*1.65</f>
        <v/>
      </c>
      <c r="G27" s="20">
        <f>(G20-G26/1.1)*1.053*1.65</f>
        <v/>
      </c>
      <c r="H27" s="20">
        <f>(H20-H26/1.1)*1.053*1.65</f>
        <v/>
      </c>
      <c r="I27" s="20">
        <f>(I20-I26/1.1)*1.053*1.65</f>
        <v/>
      </c>
      <c r="J27" s="20">
        <f>(J20-J26/1.1)*1.053*1.65</f>
        <v/>
      </c>
      <c r="K27" s="20">
        <f>(K20-K26/1.1)*1.053*1.65</f>
        <v/>
      </c>
      <c r="L27" s="20">
        <f>(L20-L26/1.1)*1.053*1.65</f>
        <v/>
      </c>
      <c r="M27" s="20">
        <f>(M20-M26/1.1)*1.053*1.65</f>
        <v/>
      </c>
      <c r="N27" s="20">
        <f>(N20-N26/1.1)*1.053*1.65</f>
        <v/>
      </c>
      <c r="O27" s="20">
        <f>(O20-O26/1.1)*1.053*1.65</f>
        <v/>
      </c>
      <c r="P27" s="20">
        <f>(P20-P26/1.1)*1.053*1.65</f>
        <v/>
      </c>
      <c r="Q27" s="20">
        <f>(Q20-Q26/1.1)*1.053*1.65</f>
        <v/>
      </c>
      <c r="R27" s="20">
        <f>(R20-R26/1.1)*1.053*1.65</f>
        <v/>
      </c>
      <c r="S27" s="20">
        <f>(S20-S26/1.1)*1.053*1.65</f>
        <v/>
      </c>
      <c r="T27" s="20">
        <f>(T20-T26/1.1)*1.053*1.65</f>
        <v/>
      </c>
      <c r="U27" s="20">
        <f>(U20-U26/1.1)*1.053*1.65</f>
        <v/>
      </c>
      <c r="V27" s="20">
        <f>(V20-V26/1.1)*1.053*1.65</f>
        <v/>
      </c>
      <c r="W27" s="20">
        <f>(W20-W26/1.1)*1.053*1.65</f>
        <v/>
      </c>
      <c r="X27" s="20">
        <f>(X20-X26/1.1)*1.053*1.65</f>
        <v/>
      </c>
      <c r="Y27" s="20">
        <f>(Y20-Y26/1.1)*1.053*1.65</f>
        <v/>
      </c>
      <c r="Z27" s="20">
        <f>(Z20-Z26/1.1)*1.053*1.65</f>
        <v/>
      </c>
      <c r="AA27" s="20">
        <f>(AA20-AA26/1.1)*1.053*1.65</f>
        <v/>
      </c>
      <c r="AB27" s="20">
        <f>(AB20-AB26/1.1)*1.053*1.65</f>
        <v/>
      </c>
      <c r="AC27" s="20">
        <f>(AC20-AC26/1.1)*1.053*1.65</f>
        <v/>
      </c>
      <c r="AD27" s="20">
        <f>(AD20-AD26/1.1)*1.053*1.65</f>
        <v/>
      </c>
      <c r="AE27" s="20">
        <f>(AE20-AE26/1.1)*1.053*1.65</f>
        <v/>
      </c>
      <c r="AF27" s="20">
        <f>(AF20-AF26/1.1)*1.053*1.65</f>
        <v/>
      </c>
      <c r="AG27" s="20">
        <f>(AG20-AG26/1.1)*1.053*1.65</f>
        <v/>
      </c>
      <c r="AH27" s="20">
        <f>(AH20-AH26/1.1)*1.053*1.65</f>
        <v/>
      </c>
      <c r="AI27" s="20">
        <f>(AI20-AI26/1.1)*1.053*1.65</f>
        <v/>
      </c>
      <c r="AJ27" s="20">
        <f>(AJ20-AJ26/1.1)*1.053*1.65</f>
        <v/>
      </c>
      <c r="AK27" s="20">
        <f>(AK20-AK26/1.1)*1.053*1.65</f>
        <v/>
      </c>
      <c r="AL27" s="20">
        <f>(AL20-AL26/1.1)*1.053*1.65</f>
        <v/>
      </c>
      <c r="AM27" s="20">
        <f>(AM20-AM26/1.1)*1.053*1.65</f>
        <v/>
      </c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inlineStr">
        <is>
          <t>矿石消耗总量(万吨)</t>
        </is>
      </c>
      <c r="B29" s="7" t="inlineStr">
        <is>
          <t>铁素资源公式</t>
        </is>
      </c>
      <c r="C29" s="22">
        <f>C24+C27</f>
        <v/>
      </c>
      <c r="D29" s="22">
        <f>D24+D27</f>
        <v/>
      </c>
      <c r="E29" s="22">
        <f>E24+E27</f>
        <v/>
      </c>
      <c r="F29" s="22">
        <f>F24+F27</f>
        <v/>
      </c>
      <c r="G29" s="22">
        <f>G24+G27</f>
        <v/>
      </c>
      <c r="H29" s="22">
        <f>H24+H27</f>
        <v/>
      </c>
      <c r="I29" s="22">
        <f>I24+I27</f>
        <v/>
      </c>
      <c r="J29" s="22">
        <f>J24+J27</f>
        <v/>
      </c>
      <c r="K29" s="22">
        <f>K24+K27</f>
        <v/>
      </c>
      <c r="L29" s="22">
        <f>L24+L27</f>
        <v/>
      </c>
      <c r="M29" s="22">
        <f>M24+M27</f>
        <v/>
      </c>
      <c r="N29" s="22">
        <f>N24+N27</f>
        <v/>
      </c>
      <c r="O29" s="22">
        <f>O24+O27</f>
        <v/>
      </c>
      <c r="P29" s="22">
        <f>P24+P27</f>
        <v/>
      </c>
      <c r="Q29" s="22">
        <f>Q24+Q27</f>
        <v/>
      </c>
      <c r="R29" s="22">
        <f>R24+R27</f>
        <v/>
      </c>
      <c r="S29" s="22">
        <f>S24+S27</f>
        <v/>
      </c>
      <c r="T29" s="22">
        <f>T24+T27</f>
        <v/>
      </c>
      <c r="U29" s="22">
        <f>U24+U27</f>
        <v/>
      </c>
      <c r="V29" s="22">
        <f>V24+V27</f>
        <v/>
      </c>
      <c r="W29" s="22">
        <f>W24+W27</f>
        <v/>
      </c>
      <c r="X29" s="22">
        <f>X24+X27</f>
        <v/>
      </c>
      <c r="Y29" s="22">
        <f>Y24+Y27</f>
        <v/>
      </c>
      <c r="Z29" s="22">
        <f>Z24+Z27</f>
        <v/>
      </c>
      <c r="AA29" s="22">
        <f>AA24+AA27</f>
        <v/>
      </c>
      <c r="AB29" s="22">
        <f>AB24+AB27</f>
        <v/>
      </c>
      <c r="AC29" s="22">
        <f>AC24+AC27</f>
        <v/>
      </c>
      <c r="AD29" s="22">
        <f>AD24+AD27</f>
        <v/>
      </c>
      <c r="AE29" s="22">
        <f>AE24+AE27</f>
        <v/>
      </c>
      <c r="AF29" s="22">
        <f>AF24+AF27</f>
        <v/>
      </c>
      <c r="AG29" s="22">
        <f>AG24+AG27</f>
        <v/>
      </c>
      <c r="AH29" s="22">
        <f>AH24+AH27</f>
        <v/>
      </c>
      <c r="AI29" s="22">
        <f>AI24+AI27</f>
        <v/>
      </c>
      <c r="AJ29" s="22">
        <f>AJ24+AJ27</f>
        <v/>
      </c>
      <c r="AK29" s="22">
        <f>AK24+AK27</f>
        <v/>
      </c>
      <c r="AL29" s="22">
        <f>AL24+AL27</f>
        <v/>
      </c>
      <c r="AM29" s="22">
        <f>AM24+AM27</f>
        <v/>
      </c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0.025</v>
      </c>
      <c r="E32" s="44" t="n">
        <v>0.05</v>
      </c>
      <c r="F32" s="44" t="n">
        <v>0.075</v>
      </c>
      <c r="G32" s="44" t="n">
        <v>0.09999999999999999</v>
      </c>
      <c r="H32" s="44" t="n">
        <v>0.125</v>
      </c>
      <c r="I32" s="44" t="n">
        <v>0.15</v>
      </c>
      <c r="J32" s="44" t="n">
        <v>0.176</v>
      </c>
      <c r="K32" s="44" t="n">
        <v>0.202</v>
      </c>
      <c r="L32" s="44" t="n">
        <v>0.228</v>
      </c>
      <c r="M32" s="44" t="n">
        <v>0.254</v>
      </c>
      <c r="N32" s="44" t="n">
        <v>0.28</v>
      </c>
      <c r="O32" s="44" t="n">
        <v>0.314</v>
      </c>
      <c r="P32" s="44" t="n">
        <v>0.348</v>
      </c>
      <c r="Q32" s="44" t="n">
        <v>0.382</v>
      </c>
      <c r="R32" s="44" t="n">
        <v>0.416</v>
      </c>
      <c r="S32" s="44" t="n">
        <v>0.45</v>
      </c>
      <c r="T32" s="44" t="n">
        <v>0.468</v>
      </c>
      <c r="U32" s="44" t="n">
        <v>0.486</v>
      </c>
      <c r="V32" s="44" t="n">
        <v>0.504</v>
      </c>
      <c r="W32" s="44" t="n">
        <v>0.522</v>
      </c>
      <c r="X32" s="44" t="n">
        <v>0.54</v>
      </c>
      <c r="Y32" s="44" t="n">
        <v>0.5580000000000001</v>
      </c>
      <c r="Z32" s="44" t="n">
        <v>0.5760000000000001</v>
      </c>
      <c r="AA32" s="44" t="n">
        <v>0.594</v>
      </c>
      <c r="AB32" s="44" t="n">
        <v>0.612</v>
      </c>
      <c r="AC32" s="44" t="n">
        <v>0.63</v>
      </c>
      <c r="AD32" s="44" t="n">
        <v>0.649</v>
      </c>
      <c r="AE32" s="44" t="n">
        <v>0.668</v>
      </c>
      <c r="AF32" s="44" t="n">
        <v>0.6869999999999999</v>
      </c>
      <c r="AG32" s="44" t="n">
        <v>0.706</v>
      </c>
      <c r="AH32" s="44" t="n">
        <v>0.725</v>
      </c>
      <c r="AI32" s="44" t="n">
        <v>0.744</v>
      </c>
      <c r="AJ32" s="44" t="n">
        <v>0.7629999999999999</v>
      </c>
      <c r="AK32" s="44" t="n">
        <v>0.782</v>
      </c>
      <c r="AL32" s="44" t="n">
        <v>0.8009999999999999</v>
      </c>
      <c r="AM32" s="44" t="n">
        <v>0.82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0.0006666666666666666</v>
      </c>
      <c r="E36" s="45" t="n">
        <v>0.001333333333333333</v>
      </c>
      <c r="F36" s="45" t="n">
        <v>0.002</v>
      </c>
      <c r="G36" s="45" t="n">
        <v>0.002666666666666667</v>
      </c>
      <c r="H36" s="45" t="n">
        <v>0.003333333333333334</v>
      </c>
      <c r="I36" s="45" t="n">
        <v>0.004</v>
      </c>
      <c r="J36" s="45" t="n">
        <v>0.006200000000000001</v>
      </c>
      <c r="K36" s="45" t="n">
        <v>0.008400000000000001</v>
      </c>
      <c r="L36" s="45" t="n">
        <v>0.0106</v>
      </c>
      <c r="M36" s="45" t="n">
        <v>0.0128</v>
      </c>
      <c r="N36" s="45" t="n">
        <v>0.015</v>
      </c>
      <c r="O36" s="45" t="n">
        <v>0.017</v>
      </c>
      <c r="P36" s="45" t="n">
        <v>0.019</v>
      </c>
      <c r="Q36" s="45" t="n">
        <v>0.021</v>
      </c>
      <c r="R36" s="45" t="n">
        <v>0.023</v>
      </c>
      <c r="S36" s="45" t="n">
        <v>0.025</v>
      </c>
      <c r="T36" s="45" t="n">
        <v>0.0255</v>
      </c>
      <c r="U36" s="45" t="n">
        <v>0.026</v>
      </c>
      <c r="V36" s="45" t="n">
        <v>0.0265</v>
      </c>
      <c r="W36" s="45" t="n">
        <v>0.027</v>
      </c>
      <c r="X36" s="45" t="n">
        <v>0.0275</v>
      </c>
      <c r="Y36" s="45" t="n">
        <v>0.028</v>
      </c>
      <c r="Z36" s="45" t="n">
        <v>0.0285</v>
      </c>
      <c r="AA36" s="45" t="n">
        <v>0.029</v>
      </c>
      <c r="AB36" s="45" t="n">
        <v>0.0295</v>
      </c>
      <c r="AC36" s="45" t="n">
        <v>0.03</v>
      </c>
      <c r="AD36" s="45" t="n">
        <v>0.0288</v>
      </c>
      <c r="AE36" s="45" t="n">
        <v>0.0276</v>
      </c>
      <c r="AF36" s="45" t="n">
        <v>0.0264</v>
      </c>
      <c r="AG36" s="45" t="n">
        <v>0.0252</v>
      </c>
      <c r="AH36" s="45" t="n">
        <v>0.024</v>
      </c>
      <c r="AI36" s="45" t="n">
        <v>0.0228</v>
      </c>
      <c r="AJ36" s="45" t="n">
        <v>0.0216</v>
      </c>
      <c r="AK36" s="45" t="n">
        <v>0.0204</v>
      </c>
      <c r="AL36" s="45" t="n">
        <v>0.0192</v>
      </c>
      <c r="AM36" s="45" t="n">
        <v>0.018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产量变化碳排放曲线(万吨CO2)</t>
        </is>
      </c>
      <c r="B41" s="7">
        <f>粗钢产量×1.95</f>
        <v/>
      </c>
      <c r="C41" s="20">
        <f>C13*1.95</f>
        <v/>
      </c>
      <c r="D41" s="20">
        <f>D13*1.95</f>
        <v/>
      </c>
      <c r="E41" s="20">
        <f>E13*1.95</f>
        <v/>
      </c>
      <c r="F41" s="20">
        <f>F13*1.95</f>
        <v/>
      </c>
      <c r="G41" s="20">
        <f>G13*1.95</f>
        <v/>
      </c>
      <c r="H41" s="20">
        <f>H13*1.95</f>
        <v/>
      </c>
      <c r="I41" s="20">
        <f>I13*1.95</f>
        <v/>
      </c>
      <c r="J41" s="20">
        <f>J13*1.95</f>
        <v/>
      </c>
      <c r="K41" s="20">
        <f>K13*1.95</f>
        <v/>
      </c>
      <c r="L41" s="20">
        <f>L13*1.95</f>
        <v/>
      </c>
      <c r="M41" s="20">
        <f>M13*1.95</f>
        <v/>
      </c>
      <c r="N41" s="20">
        <f>N13*1.95</f>
        <v/>
      </c>
      <c r="O41" s="20">
        <f>O13*1.95</f>
        <v/>
      </c>
      <c r="P41" s="20">
        <f>P13*1.95</f>
        <v/>
      </c>
      <c r="Q41" s="20">
        <f>Q13*1.95</f>
        <v/>
      </c>
      <c r="R41" s="20">
        <f>R13*1.95</f>
        <v/>
      </c>
      <c r="S41" s="20">
        <f>S13*1.95</f>
        <v/>
      </c>
      <c r="T41" s="20">
        <f>T13*1.95</f>
        <v/>
      </c>
      <c r="U41" s="20">
        <f>U13*1.95</f>
        <v/>
      </c>
      <c r="V41" s="20">
        <f>V13*1.95</f>
        <v/>
      </c>
      <c r="W41" s="20">
        <f>W13*1.95</f>
        <v/>
      </c>
      <c r="X41" s="20">
        <f>X13*1.95</f>
        <v/>
      </c>
      <c r="Y41" s="20">
        <f>Y13*1.95</f>
        <v/>
      </c>
      <c r="Z41" s="20">
        <f>Z13*1.95</f>
        <v/>
      </c>
      <c r="AA41" s="20">
        <f>AA13*1.95</f>
        <v/>
      </c>
      <c r="AB41" s="20">
        <f>AB13*1.95</f>
        <v/>
      </c>
      <c r="AC41" s="20">
        <f>AC13*1.95</f>
        <v/>
      </c>
      <c r="AD41" s="20">
        <f>AD13*1.95</f>
        <v/>
      </c>
      <c r="AE41" s="20">
        <f>AE13*1.95</f>
        <v/>
      </c>
      <c r="AF41" s="20">
        <f>AF13*1.95</f>
        <v/>
      </c>
      <c r="AG41" s="20">
        <f>AG13*1.95</f>
        <v/>
      </c>
      <c r="AH41" s="20">
        <f>AH13*1.95</f>
        <v/>
      </c>
      <c r="AI41" s="20">
        <f>AI13*1.95</f>
        <v/>
      </c>
      <c r="AJ41" s="20">
        <f>AJ13*1.95</f>
        <v/>
      </c>
      <c r="AK41" s="20">
        <f>AK13*1.95</f>
        <v/>
      </c>
      <c r="AL41" s="20">
        <f>AL13*1.95</f>
        <v/>
      </c>
      <c r="AM41" s="20">
        <f>AM13*1.95</f>
        <v/>
      </c>
    </row>
    <row r="42" ht="17" customHeight="1">
      <c r="A42" s="2" t="inlineStr">
        <is>
          <t>产量变化降碳潜力(万吨CO2)</t>
        </is>
      </c>
      <c r="B42" s="7">
        <f>基准产量×1.95-当年曲线</f>
        <v/>
      </c>
      <c r="C42" s="20">
        <f>100509*1.95-C41</f>
        <v/>
      </c>
      <c r="D42" s="20">
        <f>100509*1.95-D41</f>
        <v/>
      </c>
      <c r="E42" s="20">
        <f>100509*1.95-E41</f>
        <v/>
      </c>
      <c r="F42" s="20">
        <f>100509*1.95-F41</f>
        <v/>
      </c>
      <c r="G42" s="20">
        <f>100509*1.95-G41</f>
        <v/>
      </c>
      <c r="H42" s="20">
        <f>100509*1.95-H41</f>
        <v/>
      </c>
      <c r="I42" s="20">
        <f>100509*1.95-I41</f>
        <v/>
      </c>
      <c r="J42" s="20">
        <f>100509*1.95-J41</f>
        <v/>
      </c>
      <c r="K42" s="20">
        <f>100509*1.95-K41</f>
        <v/>
      </c>
      <c r="L42" s="20">
        <f>100509*1.95-L41</f>
        <v/>
      </c>
      <c r="M42" s="20">
        <f>100509*1.95-M41</f>
        <v/>
      </c>
      <c r="N42" s="20">
        <f>100509*1.95-N41</f>
        <v/>
      </c>
      <c r="O42" s="20">
        <f>100509*1.95-O41</f>
        <v/>
      </c>
      <c r="P42" s="20">
        <f>100509*1.95-P41</f>
        <v/>
      </c>
      <c r="Q42" s="20">
        <f>100509*1.95-Q41</f>
        <v/>
      </c>
      <c r="R42" s="20">
        <f>100509*1.95-R41</f>
        <v/>
      </c>
      <c r="S42" s="20">
        <f>100509*1.95-S41</f>
        <v/>
      </c>
      <c r="T42" s="20">
        <f>100509*1.95-T41</f>
        <v/>
      </c>
      <c r="U42" s="20">
        <f>100509*1.95-U41</f>
        <v/>
      </c>
      <c r="V42" s="20">
        <f>100509*1.95-V41</f>
        <v/>
      </c>
      <c r="W42" s="20">
        <f>100509*1.95-W41</f>
        <v/>
      </c>
      <c r="X42" s="20">
        <f>100509*1.95-X41</f>
        <v/>
      </c>
      <c r="Y42" s="20">
        <f>100509*1.95-Y41</f>
        <v/>
      </c>
      <c r="Z42" s="20">
        <f>100509*1.95-Z41</f>
        <v/>
      </c>
      <c r="AA42" s="20">
        <f>100509*1.95-AA41</f>
        <v/>
      </c>
      <c r="AB42" s="20">
        <f>100509*1.95-AB41</f>
        <v/>
      </c>
      <c r="AC42" s="20">
        <f>100509*1.95-AC41</f>
        <v/>
      </c>
      <c r="AD42" s="20">
        <f>100509*1.95-AD41</f>
        <v/>
      </c>
      <c r="AE42" s="20">
        <f>100509*1.95-AE41</f>
        <v/>
      </c>
      <c r="AF42" s="20">
        <f>100509*1.95-AF41</f>
        <v/>
      </c>
      <c r="AG42" s="20">
        <f>100509*1.95-AG41</f>
        <v/>
      </c>
      <c r="AH42" s="20">
        <f>100509*1.95-AH41</f>
        <v/>
      </c>
      <c r="AI42" s="20">
        <f>100509*1.95-AI41</f>
        <v/>
      </c>
      <c r="AJ42" s="20">
        <f>100509*1.95-AJ41</f>
        <v/>
      </c>
      <c r="AK42" s="20">
        <f>100509*1.95-AK41</f>
        <v/>
      </c>
      <c r="AL42" s="20">
        <f>100509*1.95-AL41</f>
        <v/>
      </c>
      <c r="AM42" s="20">
        <f>100509*1.95-AM41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((C28-38394.44)/1.1)*(1.8-0.45)</f>
        <v/>
      </c>
      <c r="D44" s="20">
        <f>((D28-38394.44)/1.1)*(1.8-0.45)</f>
        <v/>
      </c>
      <c r="E44" s="20">
        <f>((E28-38394.44)/1.1)*(1.8-0.45)</f>
        <v/>
      </c>
      <c r="F44" s="20">
        <f>((F28-38394.44)/1.1)*(1.8-0.45)</f>
        <v/>
      </c>
      <c r="G44" s="20">
        <f>((G28-38394.44)/1.1)*(1.8-0.45)</f>
        <v/>
      </c>
      <c r="H44" s="20">
        <f>((H28-38394.44)/1.1)*(1.8-0.45)</f>
        <v/>
      </c>
      <c r="I44" s="20">
        <f>((I28-38394.44)/1.1)*(1.8-0.45)</f>
        <v/>
      </c>
      <c r="J44" s="20">
        <f>((J28-38394.44)/1.1)*(1.8-0.45)</f>
        <v/>
      </c>
      <c r="K44" s="20">
        <f>((K28-38394.44)/1.1)*(1.8-0.45)</f>
        <v/>
      </c>
      <c r="L44" s="20">
        <f>((L28-38394.44)/1.1)*(1.8-0.45)</f>
        <v/>
      </c>
      <c r="M44" s="20">
        <f>((M28-38394.44)/1.1)*(1.8-0.45)</f>
        <v/>
      </c>
      <c r="N44" s="20">
        <f>((N28-38394.44)/1.1)*(1.8-0.45)</f>
        <v/>
      </c>
      <c r="O44" s="20">
        <f>((O28-38394.44)/1.1)*(1.8-0.45)</f>
        <v/>
      </c>
      <c r="P44" s="20">
        <f>((P28-38394.44)/1.1)*(1.8-0.45)</f>
        <v/>
      </c>
      <c r="Q44" s="20">
        <f>((Q28-38394.44)/1.1)*(1.8-0.45)</f>
        <v/>
      </c>
      <c r="R44" s="20">
        <f>((R28-38394.44)/1.1)*(1.8-0.45)</f>
        <v/>
      </c>
      <c r="S44" s="20">
        <f>((S28-38394.44)/1.1)*(1.8-0.45)</f>
        <v/>
      </c>
      <c r="T44" s="20">
        <f>((T28-38394.44)/1.1)*(1.8-0.45)</f>
        <v/>
      </c>
      <c r="U44" s="20">
        <f>((U28-38394.44)/1.1)*(1.8-0.45)</f>
        <v/>
      </c>
      <c r="V44" s="20">
        <f>((V28-38394.44)/1.1)*(1.8-0.45)</f>
        <v/>
      </c>
      <c r="W44" s="20">
        <f>((W28-38394.44)/1.1)*(1.8-0.45)</f>
        <v/>
      </c>
      <c r="X44" s="20">
        <f>((X28-38394.44)/1.1)*(1.8-0.45)</f>
        <v/>
      </c>
      <c r="Y44" s="20">
        <f>((Y28-38394.44)/1.1)*(1.8-0.45)</f>
        <v/>
      </c>
      <c r="Z44" s="20">
        <f>((Z28-38394.44)/1.1)*(1.8-0.45)</f>
        <v/>
      </c>
      <c r="AA44" s="20">
        <f>((AA28-38394.44)/1.1)*(1.8-0.45)</f>
        <v/>
      </c>
      <c r="AB44" s="20">
        <f>((AB28-38394.44)/1.1)*(1.8-0.45)</f>
        <v/>
      </c>
      <c r="AC44" s="20">
        <f>((AC28-38394.44)/1.1)*(1.8-0.45)</f>
        <v/>
      </c>
      <c r="AD44" s="20">
        <f>((AD28-38394.44)/1.1)*(1.8-0.45)</f>
        <v/>
      </c>
      <c r="AE44" s="20">
        <f>((AE28-38394.44)/1.1)*(1.8-0.45)</f>
        <v/>
      </c>
      <c r="AF44" s="20">
        <f>((AF28-38394.44)/1.1)*(1.8-0.45)</f>
        <v/>
      </c>
      <c r="AG44" s="20">
        <f>((AG28-38394.44)/1.1)*(1.8-0.45)</f>
        <v/>
      </c>
      <c r="AH44" s="20">
        <f>((AH28-38394.44)/1.1)*(1.8-0.45)</f>
        <v/>
      </c>
      <c r="AI44" s="20">
        <f>((AI28-38394.44)/1.1)*(1.8-0.45)</f>
        <v/>
      </c>
      <c r="AJ44" s="20">
        <f>((AJ28-38394.44)/1.1)*(1.8-0.45)</f>
        <v/>
      </c>
      <c r="AK44" s="20">
        <f>((AK28-38394.44)/1.1)*(1.8-0.45)</f>
        <v/>
      </c>
      <c r="AL44" s="20">
        <f>((AL28-38394.44)/1.1)*(1.8-0.45)</f>
        <v/>
      </c>
      <c r="AM44" s="20">
        <f>((AM28-38394.44)/1.1)*(1.8-0.45)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C41-C44</f>
        <v/>
      </c>
      <c r="D45" s="20">
        <f>D41-D44</f>
        <v/>
      </c>
      <c r="E45" s="20">
        <f>E41-E44</f>
        <v/>
      </c>
      <c r="F45" s="20">
        <f>F41-F44</f>
        <v/>
      </c>
      <c r="G45" s="20">
        <f>G41-G44</f>
        <v/>
      </c>
      <c r="H45" s="20">
        <f>H41-H44</f>
        <v/>
      </c>
      <c r="I45" s="20">
        <f>I41-I44</f>
        <v/>
      </c>
      <c r="J45" s="20">
        <f>J41-J44</f>
        <v/>
      </c>
      <c r="K45" s="20">
        <f>K41-K44</f>
        <v/>
      </c>
      <c r="L45" s="20">
        <f>L41-L44</f>
        <v/>
      </c>
      <c r="M45" s="20">
        <f>M41-M44</f>
        <v/>
      </c>
      <c r="N45" s="20">
        <f>N41-N44</f>
        <v/>
      </c>
      <c r="O45" s="20">
        <f>O41-O44</f>
        <v/>
      </c>
      <c r="P45" s="20">
        <f>P41-P44</f>
        <v/>
      </c>
      <c r="Q45" s="20">
        <f>Q41-Q44</f>
        <v/>
      </c>
      <c r="R45" s="20">
        <f>R41-R44</f>
        <v/>
      </c>
      <c r="S45" s="20">
        <f>S41-S44</f>
        <v/>
      </c>
      <c r="T45" s="20">
        <f>T41-T44</f>
        <v/>
      </c>
      <c r="U45" s="20">
        <f>U41-U44</f>
        <v/>
      </c>
      <c r="V45" s="20">
        <f>V41-V44</f>
        <v/>
      </c>
      <c r="W45" s="20">
        <f>W41-W44</f>
        <v/>
      </c>
      <c r="X45" s="20">
        <f>X41-X44</f>
        <v/>
      </c>
      <c r="Y45" s="20">
        <f>Y41-Y44</f>
        <v/>
      </c>
      <c r="Z45" s="20">
        <f>Z41-Z44</f>
        <v/>
      </c>
      <c r="AA45" s="20">
        <f>AA41-AA44</f>
        <v/>
      </c>
      <c r="AB45" s="20">
        <f>AB41-AB44</f>
        <v/>
      </c>
      <c r="AC45" s="20">
        <f>AC41-AC44</f>
        <v/>
      </c>
      <c r="AD45" s="20">
        <f>AD41-AD44</f>
        <v/>
      </c>
      <c r="AE45" s="20">
        <f>AE41-AE44</f>
        <v/>
      </c>
      <c r="AF45" s="20">
        <f>AF41-AF44</f>
        <v/>
      </c>
      <c r="AG45" s="20">
        <f>AG41-AG44</f>
        <v/>
      </c>
      <c r="AH45" s="20">
        <f>AH41-AH44</f>
        <v/>
      </c>
      <c r="AI45" s="20">
        <f>AI41-AI44</f>
        <v/>
      </c>
      <c r="AJ45" s="20">
        <f>AJ41-AJ44</f>
        <v/>
      </c>
      <c r="AK45" s="20">
        <f>AK41-AK44</f>
        <v/>
      </c>
      <c r="AL45" s="20">
        <f>AL41-AL44</f>
        <v/>
      </c>
      <c r="AM45" s="20">
        <f>AM41-AM44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(C25-11055.99)*1.26</f>
        <v/>
      </c>
      <c r="D47" s="20">
        <f>(D25-11055.99)*1.26</f>
        <v/>
      </c>
      <c r="E47" s="20">
        <f>(E25-11055.99)*1.26</f>
        <v/>
      </c>
      <c r="F47" s="20">
        <f>(F25-11055.99)*1.26</f>
        <v/>
      </c>
      <c r="G47" s="20">
        <f>(G25-11055.99)*1.26</f>
        <v/>
      </c>
      <c r="H47" s="20">
        <f>(H25-11055.99)*1.26</f>
        <v/>
      </c>
      <c r="I47" s="20">
        <f>(I25-11055.99)*1.26</f>
        <v/>
      </c>
      <c r="J47" s="20">
        <f>(J25-11055.99)*1.26</f>
        <v/>
      </c>
      <c r="K47" s="20">
        <f>(K25-11055.99)*1.26</f>
        <v/>
      </c>
      <c r="L47" s="20">
        <f>(L25-11055.99)*1.26</f>
        <v/>
      </c>
      <c r="M47" s="20">
        <f>(M25-11055.99)*1.26</f>
        <v/>
      </c>
      <c r="N47" s="20">
        <f>(N25-11055.99)*1.26</f>
        <v/>
      </c>
      <c r="O47" s="20">
        <f>(O25-11055.99)*1.26</f>
        <v/>
      </c>
      <c r="P47" s="20">
        <f>(P25-11055.99)*1.26</f>
        <v/>
      </c>
      <c r="Q47" s="20">
        <f>(Q25-11055.99)*1.26</f>
        <v/>
      </c>
      <c r="R47" s="20">
        <f>(R25-11055.99)*1.26</f>
        <v/>
      </c>
      <c r="S47" s="20">
        <f>(S25-11055.99)*1.26</f>
        <v/>
      </c>
      <c r="T47" s="20">
        <f>(T25-11055.99)*1.26</f>
        <v/>
      </c>
      <c r="U47" s="20">
        <f>(U25-11055.99)*1.26</f>
        <v/>
      </c>
      <c r="V47" s="20">
        <f>(V25-11055.99)*1.26</f>
        <v/>
      </c>
      <c r="W47" s="20">
        <f>(W25-11055.99)*1.26</f>
        <v/>
      </c>
      <c r="X47" s="20">
        <f>(X25-11055.99)*1.26</f>
        <v/>
      </c>
      <c r="Y47" s="20">
        <f>(Y25-11055.99)*1.26</f>
        <v/>
      </c>
      <c r="Z47" s="20">
        <f>(Z25-11055.99)*1.26</f>
        <v/>
      </c>
      <c r="AA47" s="20">
        <f>(AA25-11055.99)*1.26</f>
        <v/>
      </c>
      <c r="AB47" s="20">
        <f>(AB25-11055.99)*1.26</f>
        <v/>
      </c>
      <c r="AC47" s="20">
        <f>(AC25-11055.99)*1.26</f>
        <v/>
      </c>
      <c r="AD47" s="20">
        <f>(AD25-11055.99)*1.26</f>
        <v/>
      </c>
      <c r="AE47" s="20">
        <f>(AE25-11055.99)*1.26</f>
        <v/>
      </c>
      <c r="AF47" s="20">
        <f>(AF25-11055.99)*1.26</f>
        <v/>
      </c>
      <c r="AG47" s="20">
        <f>(AG25-11055.99)*1.26</f>
        <v/>
      </c>
      <c r="AH47" s="20">
        <f>(AH25-11055.99)*1.26</f>
        <v/>
      </c>
      <c r="AI47" s="20">
        <f>(AI25-11055.99)*1.26</f>
        <v/>
      </c>
      <c r="AJ47" s="20">
        <f>(AJ25-11055.99)*1.26</f>
        <v/>
      </c>
      <c r="AK47" s="20">
        <f>(AK25-11055.99)*1.26</f>
        <v/>
      </c>
      <c r="AL47" s="20">
        <f>(AL25-11055.99)*1.26</f>
        <v/>
      </c>
      <c r="AM47" s="20">
        <f>(AM25-11055.99)*1.26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((C27-952.52)/1.65)*1.26</f>
        <v/>
      </c>
      <c r="D50" s="20">
        <f>((D27-952.52)/1.65)*1.26</f>
        <v/>
      </c>
      <c r="E50" s="20">
        <f>((E27-952.52)/1.65)*1.26</f>
        <v/>
      </c>
      <c r="F50" s="20">
        <f>((F27-952.52)/1.65)*1.26</f>
        <v/>
      </c>
      <c r="G50" s="20">
        <f>((G27-952.52)/1.65)*1.26</f>
        <v/>
      </c>
      <c r="H50" s="20">
        <f>((H27-952.52)/1.65)*1.26</f>
        <v/>
      </c>
      <c r="I50" s="20">
        <f>((I27-952.52)/1.65)*1.26</f>
        <v/>
      </c>
      <c r="J50" s="20">
        <f>((J27-952.52)/1.65)*1.26</f>
        <v/>
      </c>
      <c r="K50" s="20">
        <f>((K27-952.52)/1.65)*1.26</f>
        <v/>
      </c>
      <c r="L50" s="20">
        <f>((L27-952.52)/1.65)*1.26</f>
        <v/>
      </c>
      <c r="M50" s="20">
        <f>((M27-952.52)/1.65)*1.26</f>
        <v/>
      </c>
      <c r="N50" s="20">
        <f>((N27-952.52)/1.65)*1.26</f>
        <v/>
      </c>
      <c r="O50" s="20">
        <f>((O27-952.52)/1.65)*1.26</f>
        <v/>
      </c>
      <c r="P50" s="20">
        <f>((P27-952.52)/1.65)*1.26</f>
        <v/>
      </c>
      <c r="Q50" s="20">
        <f>((Q27-952.52)/1.65)*1.26</f>
        <v/>
      </c>
      <c r="R50" s="20">
        <f>((R27-952.52)/1.65)*1.26</f>
        <v/>
      </c>
      <c r="S50" s="20">
        <f>((S27-952.52)/1.65)*1.26</f>
        <v/>
      </c>
      <c r="T50" s="20">
        <f>((T27-952.52)/1.65)*1.26</f>
        <v/>
      </c>
      <c r="U50" s="20">
        <f>((U27-952.52)/1.65)*1.26</f>
        <v/>
      </c>
      <c r="V50" s="20">
        <f>((V27-952.52)/1.65)*1.26</f>
        <v/>
      </c>
      <c r="W50" s="20">
        <f>((W27-952.52)/1.65)*1.26</f>
        <v/>
      </c>
      <c r="X50" s="20">
        <f>((X27-952.52)/1.65)*1.26</f>
        <v/>
      </c>
      <c r="Y50" s="20">
        <f>((Y27-952.52)/1.65)*1.26</f>
        <v/>
      </c>
      <c r="Z50" s="20">
        <f>((Z27-952.52)/1.65)*1.26</f>
        <v/>
      </c>
      <c r="AA50" s="20">
        <f>((AA27-952.52)/1.65)*1.26</f>
        <v/>
      </c>
      <c r="AB50" s="20">
        <f>((AB27-952.52)/1.65)*1.26</f>
        <v/>
      </c>
      <c r="AC50" s="20">
        <f>((AC27-952.52)/1.65)*1.26</f>
        <v/>
      </c>
      <c r="AD50" s="20">
        <f>((AD27-952.52)/1.65)*1.26</f>
        <v/>
      </c>
      <c r="AE50" s="20">
        <f>((AE27-952.52)/1.65)*1.26</f>
        <v/>
      </c>
      <c r="AF50" s="20">
        <f>((AF27-952.52)/1.65)*1.26</f>
        <v/>
      </c>
      <c r="AG50" s="20">
        <f>((AG27-952.52)/1.65)*1.26</f>
        <v/>
      </c>
      <c r="AH50" s="20">
        <f>((AH27-952.52)/1.65)*1.26</f>
        <v/>
      </c>
      <c r="AI50" s="20">
        <f>((AI27-952.52)/1.65)*1.26</f>
        <v/>
      </c>
      <c r="AJ50" s="20">
        <f>((AJ27-952.52)/1.65)*1.26</f>
        <v/>
      </c>
      <c r="AK50" s="20">
        <f>((AK27-952.52)/1.65)*1.26</f>
        <v/>
      </c>
      <c r="AL50" s="20">
        <f>((AL27-952.52)/1.65)*1.26</f>
        <v/>
      </c>
      <c r="AM50" s="20">
        <f>((AM27-952.52)/1.65)*1.26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 t="n">
        <v>0</v>
      </c>
      <c r="D59" s="44">
        <f>MAX(0,MIN(0.98,IF(D57&gt;0,1-汇总对比与可视化看板!D4*D13/D57,0)))</f>
        <v/>
      </c>
      <c r="E59" s="44">
        <f>MAX(0,MIN(0.98,IF(E57&gt;0,1-汇总对比与可视化看板!D5*E13/E57,0)))</f>
        <v/>
      </c>
      <c r="F59" s="44">
        <f>MAX(0,MIN(0.98,IF(F57&gt;0,1-汇总对比与可视化看板!D6*F13/F57,0)))</f>
        <v/>
      </c>
      <c r="G59" s="44">
        <f>MAX(0,MIN(0.98,IF(G57&gt;0,1-汇总对比与可视化看板!D7*G13/G57,0)))</f>
        <v/>
      </c>
      <c r="H59" s="44">
        <f>MAX(0,MIN(0.98,IF(H57&gt;0,1-汇总对比与可视化看板!D8*H13/H57,0)))</f>
        <v/>
      </c>
      <c r="I59" s="44">
        <f>MAX(0,MIN(0.98,IF(I57&gt;0,1-汇总对比与可视化看板!D9*I13/I57,0)))</f>
        <v/>
      </c>
      <c r="J59" s="44">
        <f>MAX(0,MIN(0.98,IF(J57&gt;0,1-汇总对比与可视化看板!D10*J13/J57,0)))</f>
        <v/>
      </c>
      <c r="K59" s="44">
        <f>MAX(0,MIN(0.98,IF(K57&gt;0,1-汇总对比与可视化看板!D11*K13/K57,0)))</f>
        <v/>
      </c>
      <c r="L59" s="44">
        <f>MAX(0,MIN(0.98,IF(L57&gt;0,1-汇总对比与可视化看板!D12*L13/L57,0)))</f>
        <v/>
      </c>
      <c r="M59" s="44">
        <f>MAX(0,MIN(0.98,IF(M57&gt;0,1-汇总对比与可视化看板!D13*M13/M57,0)))</f>
        <v/>
      </c>
      <c r="N59" s="44">
        <f>MAX(0,MIN(0.98,IF(N57&gt;0,1-汇总对比与可视化看板!D14*N13/N57,0)))</f>
        <v/>
      </c>
      <c r="O59" s="44">
        <f>MAX(0,MIN(0.98,IF(O57&gt;0,1-汇总对比与可视化看板!D15*O13/O57,0)))</f>
        <v/>
      </c>
      <c r="P59" s="44">
        <f>MAX(0,MIN(0.98,IF(P57&gt;0,1-汇总对比与可视化看板!D16*P13/P57,0)))</f>
        <v/>
      </c>
      <c r="Q59" s="44">
        <f>MAX(0,MIN(0.98,IF(Q57&gt;0,1-汇总对比与可视化看板!D17*Q13/Q57,0)))</f>
        <v/>
      </c>
      <c r="R59" s="44">
        <f>MAX(0,MIN(0.98,IF(R57&gt;0,1-汇总对比与可视化看板!D18*R13/R57,0)))</f>
        <v/>
      </c>
      <c r="S59" s="44">
        <f>MAX(0,MIN(0.98,IF(S57&gt;0,1-汇总对比与可视化看板!D19*S13/S57,0)))</f>
        <v/>
      </c>
      <c r="T59" s="44">
        <f>MAX(0,MIN(0.98,IF(T57&gt;0,1-汇总对比与可视化看板!D20*T13/T57,0)))</f>
        <v/>
      </c>
      <c r="U59" s="44">
        <f>MAX(0,MIN(0.98,IF(U57&gt;0,1-汇总对比与可视化看板!D21*U13/U57,0)))</f>
        <v/>
      </c>
      <c r="V59" s="44">
        <f>MAX(0,MIN(0.98,IF(V57&gt;0,1-汇总对比与可视化看板!D22*V13/V57,0)))</f>
        <v/>
      </c>
      <c r="W59" s="44">
        <f>MAX(0,MIN(0.98,IF(W57&gt;0,1-汇总对比与可视化看板!D23*W13/W57,0)))</f>
        <v/>
      </c>
      <c r="X59" s="44">
        <f>MAX(0,MIN(0.98,IF(X57&gt;0,1-汇总对比与可视化看板!D24*X13/X57,0)))</f>
        <v/>
      </c>
      <c r="Y59" s="44">
        <f>MAX(0,MIN(0.98,IF(Y57&gt;0,1-汇总对比与可视化看板!D25*Y13/Y57,0)))</f>
        <v/>
      </c>
      <c r="Z59" s="44">
        <f>MAX(0,MIN(0.98,IF(Z57&gt;0,1-汇总对比与可视化看板!D26*Z13/Z57,0)))</f>
        <v/>
      </c>
      <c r="AA59" s="44">
        <f>MAX(0,MIN(0.98,IF(AA57&gt;0,1-汇总对比与可视化看板!D27*AA13/AA57,0)))</f>
        <v/>
      </c>
      <c r="AB59" s="44">
        <f>MAX(0,MIN(0.98,IF(AB57&gt;0,1-汇总对比与可视化看板!D28*AB13/AB57,0)))</f>
        <v/>
      </c>
      <c r="AC59" s="44">
        <f>MAX(0,MIN(0.98,IF(AC57&gt;0,1-汇总对比与可视化看板!D29*AC13/AC57,0)))</f>
        <v/>
      </c>
      <c r="AD59" s="44">
        <f>MAX(0,MIN(0.98,IF(AD57&gt;0,1-汇总对比与可视化看板!D30*AD13/AD57,0)))</f>
        <v/>
      </c>
      <c r="AE59" s="44">
        <f>MAX(0,MIN(0.98,IF(AE57&gt;0,1-汇总对比与可视化看板!D31*AE13/AE57,0)))</f>
        <v/>
      </c>
      <c r="AF59" s="44">
        <f>MAX(0,MIN(0.98,IF(AF57&gt;0,1-汇总对比与可视化看板!D32*AF13/AF57,0)))</f>
        <v/>
      </c>
      <c r="AG59" s="44">
        <f>MAX(0,MIN(0.98,IF(AG57&gt;0,1-汇总对比与可视化看板!D33*AG13/AG57,0)))</f>
        <v/>
      </c>
      <c r="AH59" s="44">
        <f>MAX(0,MIN(0.98,IF(AH57&gt;0,1-汇总对比与可视化看板!D34*AH13/AH57,0)))</f>
        <v/>
      </c>
      <c r="AI59" s="44">
        <f>MAX(0,MIN(0.98,IF(AI57&gt;0,1-汇总对比与可视化看板!D35*AI13/AI57,0)))</f>
        <v/>
      </c>
      <c r="AJ59" s="44">
        <f>MAX(0,MIN(0.98,IF(AJ57&gt;0,1-汇总对比与可视化看板!D36*AJ13/AJ57,0)))</f>
        <v/>
      </c>
      <c r="AK59" s="44">
        <f>MAX(0,MIN(0.98,IF(AK57&gt;0,1-汇总对比与可视化看板!D37*AK13/AK57,0)))</f>
        <v/>
      </c>
      <c r="AL59" s="44">
        <f>MAX(0,MIN(0.98,IF(AL57&gt;0,1-汇总对比与可视化看板!D38*AL13/AL57,0)))</f>
        <v/>
      </c>
      <c r="AM59" s="44">
        <f>MAX(0,MIN(0.98,IF(AM57&gt;0,1-汇总对比与可视化看板!D39*AM13/AM57,0)))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C57*C59</f>
        <v/>
      </c>
      <c r="D60" s="28">
        <f>D57*D59</f>
        <v/>
      </c>
      <c r="E60" s="28">
        <f>E57*E59</f>
        <v/>
      </c>
      <c r="F60" s="28">
        <f>F57*F59</f>
        <v/>
      </c>
      <c r="G60" s="28">
        <f>G57*G59</f>
        <v/>
      </c>
      <c r="H60" s="28">
        <f>H57*H59</f>
        <v/>
      </c>
      <c r="I60" s="28">
        <f>I57*I59</f>
        <v/>
      </c>
      <c r="J60" s="28">
        <f>J57*J59</f>
        <v/>
      </c>
      <c r="K60" s="28">
        <f>K57*K59</f>
        <v/>
      </c>
      <c r="L60" s="28">
        <f>L57*L59</f>
        <v/>
      </c>
      <c r="M60" s="28">
        <f>M57*M59</f>
        <v/>
      </c>
      <c r="N60" s="28">
        <f>N57*N59</f>
        <v/>
      </c>
      <c r="O60" s="28">
        <f>O57*O59</f>
        <v/>
      </c>
      <c r="P60" s="28">
        <f>P57*P59</f>
        <v/>
      </c>
      <c r="Q60" s="28">
        <f>Q57*Q59</f>
        <v/>
      </c>
      <c r="R60" s="28">
        <f>R57*R59</f>
        <v/>
      </c>
      <c r="S60" s="28">
        <f>S57*S59</f>
        <v/>
      </c>
      <c r="T60" s="28">
        <f>T57*T59</f>
        <v/>
      </c>
      <c r="U60" s="28">
        <f>U57*U59</f>
        <v/>
      </c>
      <c r="V60" s="28">
        <f>V57*V59</f>
        <v/>
      </c>
      <c r="W60" s="28">
        <f>W57*W59</f>
        <v/>
      </c>
      <c r="X60" s="28">
        <f>X57*X59</f>
        <v/>
      </c>
      <c r="Y60" s="28">
        <f>Y57*Y59</f>
        <v/>
      </c>
      <c r="Z60" s="28">
        <f>Z57*Z59</f>
        <v/>
      </c>
      <c r="AA60" s="28">
        <f>AA57*AA59</f>
        <v/>
      </c>
      <c r="AB60" s="28">
        <f>AB57*AB59</f>
        <v/>
      </c>
      <c r="AC60" s="28">
        <f>AC57*AC59</f>
        <v/>
      </c>
      <c r="AD60" s="28">
        <f>AD57*AD59</f>
        <v/>
      </c>
      <c r="AE60" s="28">
        <f>AE57*AE59</f>
        <v/>
      </c>
      <c r="AF60" s="28">
        <f>AF57*AF59</f>
        <v/>
      </c>
      <c r="AG60" s="28">
        <f>AG57*AG59</f>
        <v/>
      </c>
      <c r="AH60" s="28">
        <f>AH57*AH59</f>
        <v/>
      </c>
      <c r="AI60" s="28">
        <f>AI57*AI59</f>
        <v/>
      </c>
      <c r="AJ60" s="28">
        <f>AJ57*AJ59</f>
        <v/>
      </c>
      <c r="AK60" s="28">
        <f>AK57*AK59</f>
        <v/>
      </c>
      <c r="AL60" s="28">
        <f>AL57*AL59</f>
        <v/>
      </c>
      <c r="AM60" s="28">
        <f>AM57*AM59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C57-C60</f>
        <v/>
      </c>
      <c r="D62" s="28">
        <f>D57-D60</f>
        <v/>
      </c>
      <c r="E62" s="28">
        <f>E57-E60</f>
        <v/>
      </c>
      <c r="F62" s="28">
        <f>F57-F60</f>
        <v/>
      </c>
      <c r="G62" s="28">
        <f>G57-G60</f>
        <v/>
      </c>
      <c r="H62" s="28">
        <f>H57-H60</f>
        <v/>
      </c>
      <c r="I62" s="28">
        <f>I57-I60</f>
        <v/>
      </c>
      <c r="J62" s="28">
        <f>J57-J60</f>
        <v/>
      </c>
      <c r="K62" s="28">
        <f>K57-K60</f>
        <v/>
      </c>
      <c r="L62" s="28">
        <f>L57-L60</f>
        <v/>
      </c>
      <c r="M62" s="28">
        <f>M57-M60</f>
        <v/>
      </c>
      <c r="N62" s="28">
        <f>N57-N60</f>
        <v/>
      </c>
      <c r="O62" s="28">
        <f>O57-O60</f>
        <v/>
      </c>
      <c r="P62" s="28">
        <f>P57-P60</f>
        <v/>
      </c>
      <c r="Q62" s="28">
        <f>Q57-Q60</f>
        <v/>
      </c>
      <c r="R62" s="28">
        <f>R57-R60</f>
        <v/>
      </c>
      <c r="S62" s="28">
        <f>S57-S60</f>
        <v/>
      </c>
      <c r="T62" s="28">
        <f>T57-T60</f>
        <v/>
      </c>
      <c r="U62" s="28">
        <f>U57-U60</f>
        <v/>
      </c>
      <c r="V62" s="28">
        <f>V57-V60</f>
        <v/>
      </c>
      <c r="W62" s="28">
        <f>W57-W60</f>
        <v/>
      </c>
      <c r="X62" s="28">
        <f>X57-X60</f>
        <v/>
      </c>
      <c r="Y62" s="28">
        <f>Y57-Y60</f>
        <v/>
      </c>
      <c r="Z62" s="28">
        <f>Z57-Z60</f>
        <v/>
      </c>
      <c r="AA62" s="28">
        <f>AA57-AA60</f>
        <v/>
      </c>
      <c r="AB62" s="28">
        <f>AB57-AB60</f>
        <v/>
      </c>
      <c r="AC62" s="28">
        <f>AC57-AC60</f>
        <v/>
      </c>
      <c r="AD62" s="28">
        <f>AD57-AD60</f>
        <v/>
      </c>
      <c r="AE62" s="28">
        <f>AE57-AE60</f>
        <v/>
      </c>
      <c r="AF62" s="28">
        <f>AF57-AF60</f>
        <v/>
      </c>
      <c r="AG62" s="28">
        <f>AG57-AG60</f>
        <v/>
      </c>
      <c r="AH62" s="28">
        <f>AH57-AH60</f>
        <v/>
      </c>
      <c r="AI62" s="28">
        <f>AI57-AI60</f>
        <v/>
      </c>
      <c r="AJ62" s="28">
        <f>AJ57-AJ60</f>
        <v/>
      </c>
      <c r="AK62" s="28">
        <f>AK57-AK60</f>
        <v/>
      </c>
      <c r="AL62" s="28">
        <f>AL57-AL60</f>
        <v/>
      </c>
      <c r="AM62" s="28">
        <f>AM57-AM60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AQ65"/>
  <sheetViews>
    <sheetView tabSelected="1" workbookViewId="0">
      <selection activeCell="N42" sqref="N42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保守情景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95000</v>
      </c>
      <c r="F13" s="18" t="n">
        <v>94000</v>
      </c>
      <c r="G13" s="18" t="n">
        <v>93000</v>
      </c>
      <c r="H13" s="18" t="n">
        <v>92000</v>
      </c>
      <c r="I13" s="18" t="n">
        <v>91000</v>
      </c>
      <c r="J13" s="18" t="n">
        <v>90000</v>
      </c>
      <c r="K13" s="18" t="n">
        <v>89000</v>
      </c>
      <c r="L13" s="18" t="n">
        <v>87800</v>
      </c>
      <c r="M13" s="18" t="n">
        <v>86600</v>
      </c>
      <c r="N13" s="18" t="n">
        <v>85500</v>
      </c>
      <c r="O13" s="18" t="n">
        <v>84800</v>
      </c>
      <c r="P13" s="18" t="n">
        <v>84200</v>
      </c>
      <c r="Q13" s="18" t="n">
        <v>83600</v>
      </c>
      <c r="R13" s="18" t="n">
        <v>83100</v>
      </c>
      <c r="S13" s="18" t="n">
        <v>82600</v>
      </c>
      <c r="T13" s="18" t="n">
        <v>82200</v>
      </c>
      <c r="U13" s="18" t="n">
        <v>81800</v>
      </c>
      <c r="V13" s="18" t="n">
        <v>81500</v>
      </c>
      <c r="W13" s="18" t="n">
        <v>81200</v>
      </c>
      <c r="X13" s="18" t="n">
        <v>80900</v>
      </c>
      <c r="Y13" s="18" t="n">
        <v>80600</v>
      </c>
      <c r="Z13" s="18" t="n">
        <v>80300</v>
      </c>
      <c r="AA13" s="18" t="n">
        <v>79800</v>
      </c>
      <c r="AB13" s="18" t="n">
        <v>79200</v>
      </c>
      <c r="AC13" s="18" t="n">
        <v>78500</v>
      </c>
      <c r="AD13" s="18" t="n">
        <v>77900</v>
      </c>
      <c r="AE13" s="18" t="n">
        <v>77300</v>
      </c>
      <c r="AF13" s="18" t="n">
        <v>76700</v>
      </c>
      <c r="AG13" s="18" t="n">
        <v>76100</v>
      </c>
      <c r="AH13" s="18" t="n">
        <v>75500</v>
      </c>
      <c r="AI13" s="18" t="n">
        <v>75000</v>
      </c>
      <c r="AJ13" s="18" t="n">
        <v>74500</v>
      </c>
      <c r="AK13" s="18" t="n">
        <v>74000</v>
      </c>
      <c r="AL13" s="18" t="n">
        <v>73500</v>
      </c>
      <c r="AM13" s="18" t="n">
        <v>73100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10.26054448225571</v>
      </c>
      <c r="E15" s="42" t="n">
        <v>10.44412950899368</v>
      </c>
      <c r="F15" s="42" t="n">
        <v>10.5823113271755</v>
      </c>
      <c r="G15" s="42" t="n">
        <v>10.70664618376276</v>
      </c>
      <c r="H15" s="42" t="n">
        <v>10.84869032571706</v>
      </c>
      <c r="I15" s="42" t="n">
        <v>11.04</v>
      </c>
      <c r="J15" s="42" t="n">
        <v>11.31213145357317</v>
      </c>
      <c r="K15" s="42" t="n">
        <v>11.69664093339815</v>
      </c>
      <c r="L15" s="42" t="n">
        <v>12.22508468643656</v>
      </c>
      <c r="M15" s="42" t="n">
        <v>12.92901895964998</v>
      </c>
      <c r="N15" s="42" t="n">
        <v>13.84</v>
      </c>
      <c r="O15" s="42" t="n">
        <v>14.97770345162859</v>
      </c>
      <c r="P15" s="42" t="n">
        <v>16.31428254739912</v>
      </c>
      <c r="Q15" s="42" t="n">
        <v>17.81000991735537</v>
      </c>
      <c r="R15" s="42" t="n">
        <v>19.42515819154108</v>
      </c>
      <c r="S15" s="42" t="n">
        <v>21.12</v>
      </c>
      <c r="T15" s="42" t="n">
        <v>22.85853643169664</v>
      </c>
      <c r="U15" s="42" t="n">
        <v>24.61968241127856</v>
      </c>
      <c r="V15" s="42" t="n">
        <v>26.38608132231405</v>
      </c>
      <c r="W15" s="42" t="n">
        <v>28.14037654837141</v>
      </c>
      <c r="X15" s="42" t="n">
        <v>29.86521147301896</v>
      </c>
      <c r="Y15" s="42" t="n">
        <v>31.54322947982499</v>
      </c>
      <c r="Z15" s="42" t="n">
        <v>33.15707395235781</v>
      </c>
      <c r="AA15" s="42" t="n">
        <v>34.6893882741857</v>
      </c>
      <c r="AB15" s="42" t="n">
        <v>36.12281582887699</v>
      </c>
      <c r="AC15" s="42" t="n">
        <v>37.44</v>
      </c>
      <c r="AD15" s="42" t="n">
        <v>38.623584171123</v>
      </c>
      <c r="AE15" s="42" t="n">
        <v>39.65621172581429</v>
      </c>
      <c r="AF15" s="42" t="n">
        <v>40.40000000000001</v>
      </c>
      <c r="AG15" s="42" t="n">
        <v>40.40000000000001</v>
      </c>
      <c r="AH15" s="42" t="n">
        <v>40.40000000000001</v>
      </c>
      <c r="AI15" s="42" t="n">
        <v>40.40000000000001</v>
      </c>
      <c r="AJ15" s="42" t="n">
        <v>40.40000000000001</v>
      </c>
      <c r="AK15" s="42" t="n">
        <v>40.40000000000001</v>
      </c>
      <c r="AL15" s="42" t="n">
        <v>40.40000000000001</v>
      </c>
      <c r="AM15" s="42" t="n">
        <v>40.40000000000001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1.137403986387944</v>
      </c>
      <c r="E16" s="17" t="n">
        <v>1.231025376762275</v>
      </c>
      <c r="F16" s="17" t="n">
        <v>1.296479922216821</v>
      </c>
      <c r="G16" s="17" t="n">
        <v>1.349383373845406</v>
      </c>
      <c r="H16" s="17" t="n">
        <v>1.405351482741857</v>
      </c>
      <c r="I16" s="17" t="n">
        <v>1.48</v>
      </c>
      <c r="J16" s="17" t="n">
        <v>1.588944676713661</v>
      </c>
      <c r="K16" s="17" t="n">
        <v>1.747801263976665</v>
      </c>
      <c r="L16" s="17" t="n">
        <v>1.972185512882839</v>
      </c>
      <c r="M16" s="17" t="n">
        <v>2.277713174526009</v>
      </c>
      <c r="N16" s="17" t="n">
        <v>2.68</v>
      </c>
      <c r="O16" s="17" t="n">
        <v>3.18882675741371</v>
      </c>
      <c r="P16" s="17" t="n">
        <v>3.790634282936315</v>
      </c>
      <c r="Q16" s="17" t="n">
        <v>4.466028429752066</v>
      </c>
      <c r="R16" s="17" t="n">
        <v>5.195615051045212</v>
      </c>
      <c r="S16" s="17" t="n">
        <v>5.960000000000001</v>
      </c>
      <c r="T16" s="17" t="n">
        <v>6.741778084589207</v>
      </c>
      <c r="U16" s="17" t="n">
        <v>7.531499931939718</v>
      </c>
      <c r="V16" s="17" t="n">
        <v>8.321705123966943</v>
      </c>
      <c r="W16" s="17" t="n">
        <v>9.10493324258629</v>
      </c>
      <c r="X16" s="17" t="n">
        <v>9.873723869713174</v>
      </c>
      <c r="Y16" s="17" t="n">
        <v>10.620616587263</v>
      </c>
      <c r="Z16" s="17" t="n">
        <v>11.33815097715119</v>
      </c>
      <c r="AA16" s="17" t="n">
        <v>12.01886662129315</v>
      </c>
      <c r="AB16" s="17" t="n">
        <v>12.65530310160428</v>
      </c>
      <c r="AC16" s="17" t="n">
        <v>13.24</v>
      </c>
      <c r="AD16" s="17" t="n">
        <v>13.76549689839572</v>
      </c>
      <c r="AE16" s="17" t="n">
        <v>14.22433337870685</v>
      </c>
      <c r="AF16" s="17" t="n">
        <v>14.6</v>
      </c>
      <c r="AG16" s="17" t="n">
        <v>14.6</v>
      </c>
      <c r="AH16" s="17" t="n">
        <v>14.6</v>
      </c>
      <c r="AI16" s="17" t="n">
        <v>14.6</v>
      </c>
      <c r="AJ16" s="17" t="n">
        <v>14.6</v>
      </c>
      <c r="AK16" s="17" t="n">
        <v>14.6</v>
      </c>
      <c r="AL16" s="17" t="n">
        <v>14.6</v>
      </c>
      <c r="AM16" s="17" t="n">
        <v>14.6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长流程产量(万吨)</t>
        </is>
      </c>
      <c r="B18" s="7">
        <f>长流程产量公式</f>
        <v/>
      </c>
      <c r="C18" s="20">
        <f>C13*C17</f>
        <v/>
      </c>
      <c r="D18" s="20">
        <f>D13*D17</f>
        <v/>
      </c>
      <c r="E18" s="20">
        <f>E13*E17</f>
        <v/>
      </c>
      <c r="F18" s="20">
        <f>F13*F17</f>
        <v/>
      </c>
      <c r="G18" s="20">
        <f>G13*G17</f>
        <v/>
      </c>
      <c r="H18" s="20">
        <f>H13*H17</f>
        <v/>
      </c>
      <c r="I18" s="20">
        <f>I13*I17</f>
        <v/>
      </c>
      <c r="J18" s="20">
        <f>J13*J17</f>
        <v/>
      </c>
      <c r="K18" s="20">
        <f>K13*K17</f>
        <v/>
      </c>
      <c r="L18" s="20">
        <f>L13*L17</f>
        <v/>
      </c>
      <c r="M18" s="20">
        <f>M13*M17</f>
        <v/>
      </c>
      <c r="N18" s="20">
        <f>N13*N17</f>
        <v/>
      </c>
      <c r="O18" s="20">
        <f>O13*O17</f>
        <v/>
      </c>
      <c r="P18" s="20">
        <f>P13*P17</f>
        <v/>
      </c>
      <c r="Q18" s="20">
        <f>Q13*Q17</f>
        <v/>
      </c>
      <c r="R18" s="20">
        <f>R13*R17</f>
        <v/>
      </c>
      <c r="S18" s="20">
        <f>S13*S17</f>
        <v/>
      </c>
      <c r="T18" s="20">
        <f>T13*T17</f>
        <v/>
      </c>
      <c r="U18" s="20">
        <f>U13*U17</f>
        <v/>
      </c>
      <c r="V18" s="20">
        <f>V13*V17</f>
        <v/>
      </c>
      <c r="W18" s="20">
        <f>W13*W17</f>
        <v/>
      </c>
      <c r="X18" s="20">
        <f>X13*X17</f>
        <v/>
      </c>
      <c r="Y18" s="20">
        <f>Y13*Y17</f>
        <v/>
      </c>
      <c r="Z18" s="20">
        <f>Z13*Z17</f>
        <v/>
      </c>
      <c r="AA18" s="20">
        <f>AA13*AA17</f>
        <v/>
      </c>
      <c r="AB18" s="20">
        <f>AB13*AB17</f>
        <v/>
      </c>
      <c r="AC18" s="20">
        <f>AC13*AC17</f>
        <v/>
      </c>
      <c r="AD18" s="20">
        <f>AD13*AD17</f>
        <v/>
      </c>
      <c r="AE18" s="20">
        <f>AE13*AE17</f>
        <v/>
      </c>
      <c r="AF18" s="20">
        <f>AF13*AF17</f>
        <v/>
      </c>
      <c r="AG18" s="20">
        <f>AG13*AG17</f>
        <v/>
      </c>
      <c r="AH18" s="20">
        <f>AH13*AH17</f>
        <v/>
      </c>
      <c r="AI18" s="20">
        <f>AI13*AI17</f>
        <v/>
      </c>
      <c r="AJ18" s="20">
        <f>AJ13*AJ17</f>
        <v/>
      </c>
      <c r="AK18" s="20">
        <f>AK13*AK17</f>
        <v/>
      </c>
      <c r="AL18" s="20">
        <f>AL13*AL17</f>
        <v/>
      </c>
      <c r="AM18" s="20">
        <f>AM13*AM17</f>
        <v/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短流程产量(万吨)</t>
        </is>
      </c>
      <c r="B19" s="7">
        <f>短流程产量公式</f>
        <v/>
      </c>
      <c r="C19" s="20">
        <f>C13*C15/100</f>
        <v/>
      </c>
      <c r="D19" s="20">
        <f>D13*D15/100</f>
        <v/>
      </c>
      <c r="E19" s="20">
        <f>E13*E15/100</f>
        <v/>
      </c>
      <c r="F19" s="20">
        <f>F13*F15/100</f>
        <v/>
      </c>
      <c r="G19" s="20">
        <f>G13*G15/100</f>
        <v/>
      </c>
      <c r="H19" s="20">
        <f>H13*H15/100</f>
        <v/>
      </c>
      <c r="I19" s="20">
        <f>I13*I15/100</f>
        <v/>
      </c>
      <c r="J19" s="20">
        <f>J13*J15/100</f>
        <v/>
      </c>
      <c r="K19" s="20">
        <f>K13*K15/100</f>
        <v/>
      </c>
      <c r="L19" s="20">
        <f>L13*L15/100</f>
        <v/>
      </c>
      <c r="M19" s="20">
        <f>M13*M15/100</f>
        <v/>
      </c>
      <c r="N19" s="20">
        <f>N13*N15/100</f>
        <v/>
      </c>
      <c r="O19" s="20">
        <f>O13*O15/100</f>
        <v/>
      </c>
      <c r="P19" s="20">
        <f>P13*P15/100</f>
        <v/>
      </c>
      <c r="Q19" s="20">
        <f>Q13*Q15/100</f>
        <v/>
      </c>
      <c r="R19" s="20">
        <f>R13*R15/100</f>
        <v/>
      </c>
      <c r="S19" s="20">
        <f>S13*S15/100</f>
        <v/>
      </c>
      <c r="T19" s="20">
        <f>T13*T15/100</f>
        <v/>
      </c>
      <c r="U19" s="20">
        <f>U13*U15/100</f>
        <v/>
      </c>
      <c r="V19" s="20">
        <f>V13*V15/100</f>
        <v/>
      </c>
      <c r="W19" s="20">
        <f>W13*W15/100</f>
        <v/>
      </c>
      <c r="X19" s="20">
        <f>X13*X15/100</f>
        <v/>
      </c>
      <c r="Y19" s="20">
        <f>Y13*Y15/100</f>
        <v/>
      </c>
      <c r="Z19" s="20">
        <f>Z13*Z15/100</f>
        <v/>
      </c>
      <c r="AA19" s="20">
        <f>AA13*AA15/100</f>
        <v/>
      </c>
      <c r="AB19" s="20">
        <f>AB13*AB15/100</f>
        <v/>
      </c>
      <c r="AC19" s="20">
        <f>AC13*AC15/100</f>
        <v/>
      </c>
      <c r="AD19" s="20">
        <f>AD13*AD15/100</f>
        <v/>
      </c>
      <c r="AE19" s="20">
        <f>AE13*AE15/100</f>
        <v/>
      </c>
      <c r="AF19" s="20">
        <f>AF13*AF15/100</f>
        <v/>
      </c>
      <c r="AG19" s="20">
        <f>AG13*AG15/100</f>
        <v/>
      </c>
      <c r="AH19" s="20">
        <f>AH13*AH15/100</f>
        <v/>
      </c>
      <c r="AI19" s="20">
        <f>AI13*AI15/100</f>
        <v/>
      </c>
      <c r="AJ19" s="20">
        <f>AJ13*AJ15/100</f>
        <v/>
      </c>
      <c r="AK19" s="20">
        <f>AK13*AK15/100</f>
        <v/>
      </c>
      <c r="AL19" s="20">
        <f>AL13*AL15/100</f>
        <v/>
      </c>
      <c r="AM19" s="20">
        <f>AM13*AM15/100</f>
        <v/>
      </c>
    </row>
    <row r="20" ht="17" customHeight="1">
      <c r="A20" s="2" t="inlineStr">
        <is>
          <t>氢冶金产量(万吨)</t>
        </is>
      </c>
      <c r="B20" s="7">
        <f>氢冶金产量公式</f>
        <v/>
      </c>
      <c r="C20" s="20">
        <f>C13*C16/100</f>
        <v/>
      </c>
      <c r="D20" s="20">
        <f>D13*D16/100</f>
        <v/>
      </c>
      <c r="E20" s="20">
        <f>E13*E16/100</f>
        <v/>
      </c>
      <c r="F20" s="20">
        <f>F13*F16/100</f>
        <v/>
      </c>
      <c r="G20" s="20">
        <f>G13*G16/100</f>
        <v/>
      </c>
      <c r="H20" s="20">
        <f>H13*H16/100</f>
        <v/>
      </c>
      <c r="I20" s="20">
        <f>I13*I16/100</f>
        <v/>
      </c>
      <c r="J20" s="20">
        <f>J13*J16/100</f>
        <v/>
      </c>
      <c r="K20" s="20">
        <f>K13*K16/100</f>
        <v/>
      </c>
      <c r="L20" s="20">
        <f>L13*L16/100</f>
        <v/>
      </c>
      <c r="M20" s="20">
        <f>M13*M16/100</f>
        <v/>
      </c>
      <c r="N20" s="20">
        <f>N13*N16/100</f>
        <v/>
      </c>
      <c r="O20" s="20">
        <f>O13*O16/100</f>
        <v/>
      </c>
      <c r="P20" s="20">
        <f>P13*P16/100</f>
        <v/>
      </c>
      <c r="Q20" s="20">
        <f>Q13*Q16/100</f>
        <v/>
      </c>
      <c r="R20" s="20">
        <f>R13*R16/100</f>
        <v/>
      </c>
      <c r="S20" s="20">
        <f>S13*S16/100</f>
        <v/>
      </c>
      <c r="T20" s="20">
        <f>T13*T16/100</f>
        <v/>
      </c>
      <c r="U20" s="20">
        <f>U13*U16/100</f>
        <v/>
      </c>
      <c r="V20" s="20">
        <f>V13*V16/100</f>
        <v/>
      </c>
      <c r="W20" s="20">
        <f>W13*W16/100</f>
        <v/>
      </c>
      <c r="X20" s="20">
        <f>X13*X16/100</f>
        <v/>
      </c>
      <c r="Y20" s="20">
        <f>Y13*Y16/100</f>
        <v/>
      </c>
      <c r="Z20" s="20">
        <f>Z13*Z16/100</f>
        <v/>
      </c>
      <c r="AA20" s="20">
        <f>AA13*AA16/100</f>
        <v/>
      </c>
      <c r="AB20" s="20">
        <f>AB13*AB16/100</f>
        <v/>
      </c>
      <c r="AC20" s="20">
        <f>AC13*AC16/100</f>
        <v/>
      </c>
      <c r="AD20" s="20">
        <f>AD13*AD16/100</f>
        <v/>
      </c>
      <c r="AE20" s="20">
        <f>AE13*AE16/100</f>
        <v/>
      </c>
      <c r="AF20" s="20">
        <f>AF13*AF16/100</f>
        <v/>
      </c>
      <c r="AG20" s="20">
        <f>AG13*AG16/100</f>
        <v/>
      </c>
      <c r="AH20" s="20">
        <f>AH13*AH16/100</f>
        <v/>
      </c>
      <c r="AI20" s="20">
        <f>AI13*AI16/100</f>
        <v/>
      </c>
      <c r="AJ20" s="20">
        <f>AJ13*AJ16/100</f>
        <v/>
      </c>
      <c r="AK20" s="20">
        <f>AK13*AK16/100</f>
        <v/>
      </c>
      <c r="AL20" s="20">
        <f>AL13*AL16/100</f>
        <v/>
      </c>
      <c r="AM20" s="20">
        <f>AM13*AM16/100</f>
        <v/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28826</v>
      </c>
      <c r="D22" s="21" t="n">
        <v>28254</v>
      </c>
      <c r="E22" s="21" t="n">
        <v>29999</v>
      </c>
      <c r="F22" s="21" t="n">
        <v>29431</v>
      </c>
      <c r="G22" s="21" t="n">
        <v>29435</v>
      </c>
      <c r="H22" s="21" t="n">
        <v>28841</v>
      </c>
      <c r="I22" s="21" t="n">
        <v>32825</v>
      </c>
      <c r="J22" s="21" t="n">
        <v>34566</v>
      </c>
      <c r="K22" s="21" t="n">
        <v>36824</v>
      </c>
      <c r="L22" s="21" t="n">
        <v>38029</v>
      </c>
      <c r="M22" s="21" t="n">
        <v>40733</v>
      </c>
      <c r="N22" s="21" t="n">
        <v>41498</v>
      </c>
      <c r="O22" s="21" t="n">
        <v>39919</v>
      </c>
      <c r="P22" s="21" t="n">
        <v>40670</v>
      </c>
      <c r="Q22" s="21" t="n">
        <v>43771</v>
      </c>
      <c r="R22" s="21" t="n">
        <v>49120</v>
      </c>
      <c r="S22" s="21" t="n">
        <v>49569</v>
      </c>
      <c r="T22" s="21" t="n">
        <v>53511</v>
      </c>
      <c r="U22" s="21" t="n">
        <v>53922</v>
      </c>
      <c r="V22" s="21" t="n">
        <v>58199</v>
      </c>
      <c r="W22" s="21" t="n">
        <v>57300</v>
      </c>
      <c r="X22" s="21" t="n">
        <v>58133</v>
      </c>
      <c r="Y22" s="21" t="n">
        <v>58418</v>
      </c>
      <c r="Z22" s="21" t="n">
        <v>58749</v>
      </c>
      <c r="AA22" s="21" t="n">
        <v>58819</v>
      </c>
      <c r="AB22" s="21" t="n">
        <v>58783</v>
      </c>
      <c r="AC22" s="21" t="n">
        <v>58648</v>
      </c>
      <c r="AD22" s="21" t="n">
        <v>58235</v>
      </c>
      <c r="AE22" s="21" t="n">
        <v>57897</v>
      </c>
      <c r="AF22" s="21" t="n">
        <v>58334</v>
      </c>
      <c r="AG22" s="21" t="n">
        <v>58048</v>
      </c>
      <c r="AH22" s="21" t="n">
        <v>58590</v>
      </c>
      <c r="AI22" s="21" t="n">
        <v>57706</v>
      </c>
      <c r="AJ22" s="21" t="n">
        <v>56824</v>
      </c>
      <c r="AK22" s="21" t="n">
        <v>56041</v>
      </c>
      <c r="AL22" s="21" t="n">
        <v>55228</v>
      </c>
      <c r="AM22" s="21" t="n">
        <v>54411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C18*0.3</f>
        <v/>
      </c>
      <c r="D23" s="20">
        <f>D18*0.3</f>
        <v/>
      </c>
      <c r="E23" s="20">
        <f>E18*0.3</f>
        <v/>
      </c>
      <c r="F23" s="20">
        <f>F18*0.3</f>
        <v/>
      </c>
      <c r="G23" s="20">
        <f>G18*0.3</f>
        <v/>
      </c>
      <c r="H23" s="20">
        <f>H18*0.3</f>
        <v/>
      </c>
      <c r="I23" s="20">
        <f>I18*0.3</f>
        <v/>
      </c>
      <c r="J23" s="20">
        <f>J18*0.3</f>
        <v/>
      </c>
      <c r="K23" s="20">
        <f>K18*0.3</f>
        <v/>
      </c>
      <c r="L23" s="20">
        <f>L18*0.3</f>
        <v/>
      </c>
      <c r="M23" s="20">
        <f>M18*0.3</f>
        <v/>
      </c>
      <c r="N23" s="20">
        <f>N18*0.3</f>
        <v/>
      </c>
      <c r="O23" s="20">
        <f>O18*0.3</f>
        <v/>
      </c>
      <c r="P23" s="20">
        <f>P18*0.3</f>
        <v/>
      </c>
      <c r="Q23" s="20">
        <f>Q18*0.3</f>
        <v/>
      </c>
      <c r="R23" s="20">
        <f>R18*0.3</f>
        <v/>
      </c>
      <c r="S23" s="20">
        <f>S18*0.3</f>
        <v/>
      </c>
      <c r="T23" s="20">
        <f>T18*0.3</f>
        <v/>
      </c>
      <c r="U23" s="20">
        <f>U18*0.3</f>
        <v/>
      </c>
      <c r="V23" s="20">
        <f>V18*0.3</f>
        <v/>
      </c>
      <c r="W23" s="20">
        <f>W18*0.3</f>
        <v/>
      </c>
      <c r="X23" s="20">
        <f>X18*0.3</f>
        <v/>
      </c>
      <c r="Y23" s="20">
        <f>Y18*0.3</f>
        <v/>
      </c>
      <c r="Z23" s="20">
        <f>Z18*0.3</f>
        <v/>
      </c>
      <c r="AA23" s="20">
        <f>AA18*0.3</f>
        <v/>
      </c>
      <c r="AB23" s="20">
        <f>AB18*0.3</f>
        <v/>
      </c>
      <c r="AC23" s="20">
        <f>AC18*0.3</f>
        <v/>
      </c>
      <c r="AD23" s="20">
        <f>AD18*0.3</f>
        <v/>
      </c>
      <c r="AE23" s="20">
        <f>AE18*0.3</f>
        <v/>
      </c>
      <c r="AF23" s="20">
        <f>AF18*0.3</f>
        <v/>
      </c>
      <c r="AG23" s="20">
        <f>AG18*0.3</f>
        <v/>
      </c>
      <c r="AH23" s="20">
        <f>AH18*0.3</f>
        <v/>
      </c>
      <c r="AI23" s="20">
        <f>AI18*0.3</f>
        <v/>
      </c>
      <c r="AJ23" s="20">
        <f>AJ18*0.3</f>
        <v/>
      </c>
      <c r="AK23" s="20">
        <f>AK18*0.3</f>
        <v/>
      </c>
      <c r="AL23" s="20">
        <f>AL18*0.3</f>
        <v/>
      </c>
      <c r="AM23" s="20">
        <f>AM18*0.3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inlineStr">
        <is>
          <t>长流程矿石消耗量(万吨)</t>
        </is>
      </c>
      <c r="B24" s="7" t="inlineStr">
        <is>
          <t>铁素资源公式</t>
        </is>
      </c>
      <c r="C24" s="20">
        <f>(C18-C23/1.1)*1.053*1.65</f>
        <v/>
      </c>
      <c r="D24" s="20">
        <f>(D18-D23/1.1)*1.053*1.65</f>
        <v/>
      </c>
      <c r="E24" s="20">
        <f>(E18-E23/1.1)*1.053*1.65</f>
        <v/>
      </c>
      <c r="F24" s="20">
        <f>(F18-F23/1.1)*1.053*1.65</f>
        <v/>
      </c>
      <c r="G24" s="20">
        <f>(G18-G23/1.1)*1.053*1.65</f>
        <v/>
      </c>
      <c r="H24" s="20">
        <f>(H18-H23/1.1)*1.053*1.65</f>
        <v/>
      </c>
      <c r="I24" s="20">
        <f>(I18-I23/1.1)*1.053*1.65</f>
        <v/>
      </c>
      <c r="J24" s="20">
        <f>(J18-J23/1.1)*1.053*1.65</f>
        <v/>
      </c>
      <c r="K24" s="20">
        <f>(K18-K23/1.1)*1.053*1.65</f>
        <v/>
      </c>
      <c r="L24" s="20">
        <f>(L18-L23/1.1)*1.053*1.65</f>
        <v/>
      </c>
      <c r="M24" s="20">
        <f>(M18-M23/1.1)*1.053*1.65</f>
        <v/>
      </c>
      <c r="N24" s="20">
        <f>(N18-N23/1.1)*1.053*1.65</f>
        <v/>
      </c>
      <c r="O24" s="20">
        <f>(O18-O23/1.1)*1.053*1.65</f>
        <v/>
      </c>
      <c r="P24" s="20">
        <f>(P18-P23/1.1)*1.053*1.65</f>
        <v/>
      </c>
      <c r="Q24" s="20">
        <f>(Q18-Q23/1.1)*1.053*1.65</f>
        <v/>
      </c>
      <c r="R24" s="20">
        <f>(R18-R23/1.1)*1.053*1.65</f>
        <v/>
      </c>
      <c r="S24" s="20">
        <f>(S18-S23/1.1)*1.053*1.65</f>
        <v/>
      </c>
      <c r="T24" s="20">
        <f>(T18-T23/1.1)*1.053*1.65</f>
        <v/>
      </c>
      <c r="U24" s="20">
        <f>(U18-U23/1.1)*1.053*1.65</f>
        <v/>
      </c>
      <c r="V24" s="20">
        <f>(V18-V23/1.1)*1.053*1.65</f>
        <v/>
      </c>
      <c r="W24" s="20">
        <f>(W18-W23/1.1)*1.053*1.65</f>
        <v/>
      </c>
      <c r="X24" s="20">
        <f>(X18-X23/1.1)*1.053*1.65</f>
        <v/>
      </c>
      <c r="Y24" s="20">
        <f>(Y18-Y23/1.1)*1.053*1.65</f>
        <v/>
      </c>
      <c r="Z24" s="20">
        <f>(Z18-Z23/1.1)*1.053*1.65</f>
        <v/>
      </c>
      <c r="AA24" s="20">
        <f>(AA18-AA23/1.1)*1.053*1.65</f>
        <v/>
      </c>
      <c r="AB24" s="20">
        <f>(AB18-AB23/1.1)*1.053*1.65</f>
        <v/>
      </c>
      <c r="AC24" s="20">
        <f>(AC18-AC23/1.1)*1.053*1.65</f>
        <v/>
      </c>
      <c r="AD24" s="20">
        <f>(AD18-AD23/1.1)*1.053*1.65</f>
        <v/>
      </c>
      <c r="AE24" s="20">
        <f>(AE18-AE23/1.1)*1.053*1.65</f>
        <v/>
      </c>
      <c r="AF24" s="20">
        <f>(AF18-AF23/1.1)*1.053*1.65</f>
        <v/>
      </c>
      <c r="AG24" s="20">
        <f>(AG18-AG23/1.1)*1.053*1.65</f>
        <v/>
      </c>
      <c r="AH24" s="20">
        <f>(AH18-AH23/1.1)*1.053*1.65</f>
        <v/>
      </c>
      <c r="AI24" s="20">
        <f>(AI18-AI23/1.1)*1.053*1.65</f>
        <v/>
      </c>
      <c r="AJ24" s="20">
        <f>(AJ18-AJ23/1.1)*1.053*1.65</f>
        <v/>
      </c>
      <c r="AK24" s="20">
        <f>(AK18-AK23/1.1)*1.053*1.65</f>
        <v/>
      </c>
      <c r="AL24" s="20">
        <f>(AL18-AL23/1.1)*1.053*1.65</f>
        <v/>
      </c>
      <c r="AM24" s="20">
        <f>(AM18-AM23/1.1)*1.053*1.65</f>
        <v/>
      </c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C19*1.1</f>
        <v/>
      </c>
      <c r="D25" s="20">
        <f>D19*1.1</f>
        <v/>
      </c>
      <c r="E25" s="20">
        <f>E19*1.1</f>
        <v/>
      </c>
      <c r="F25" s="20">
        <f>F19*1.1</f>
        <v/>
      </c>
      <c r="G25" s="20">
        <f>G19*1.1</f>
        <v/>
      </c>
      <c r="H25" s="20">
        <f>H19*1.1</f>
        <v/>
      </c>
      <c r="I25" s="20">
        <f>I19*1.1</f>
        <v/>
      </c>
      <c r="J25" s="20">
        <f>J19*1.1</f>
        <v/>
      </c>
      <c r="K25" s="20">
        <f>K19*1.1</f>
        <v/>
      </c>
      <c r="L25" s="20">
        <f>L19*1.1</f>
        <v/>
      </c>
      <c r="M25" s="20">
        <f>M19*1.1</f>
        <v/>
      </c>
      <c r="N25" s="20">
        <f>N19*1.1</f>
        <v/>
      </c>
      <c r="O25" s="20">
        <f>O19*1.1</f>
        <v/>
      </c>
      <c r="P25" s="20">
        <f>P19*1.1</f>
        <v/>
      </c>
      <c r="Q25" s="20">
        <f>Q19*1.1</f>
        <v/>
      </c>
      <c r="R25" s="20">
        <f>R19*1.1</f>
        <v/>
      </c>
      <c r="S25" s="20">
        <f>S19*1.1</f>
        <v/>
      </c>
      <c r="T25" s="20">
        <f>T19*1.1</f>
        <v/>
      </c>
      <c r="U25" s="20">
        <f>U19*1.1</f>
        <v/>
      </c>
      <c r="V25" s="20">
        <f>V19*1.1</f>
        <v/>
      </c>
      <c r="W25" s="20">
        <f>W19*1.1</f>
        <v/>
      </c>
      <c r="X25" s="20">
        <f>X19*1.1</f>
        <v/>
      </c>
      <c r="Y25" s="20">
        <f>Y19*1.1</f>
        <v/>
      </c>
      <c r="Z25" s="20">
        <f>Z19*1.1</f>
        <v/>
      </c>
      <c r="AA25" s="20">
        <f>AA19*1.1</f>
        <v/>
      </c>
      <c r="AB25" s="20">
        <f>AB19*1.1</f>
        <v/>
      </c>
      <c r="AC25" s="20">
        <f>AC19*1.1</f>
        <v/>
      </c>
      <c r="AD25" s="20">
        <f>AD19*1.1</f>
        <v/>
      </c>
      <c r="AE25" s="20">
        <f>AE19*1.1</f>
        <v/>
      </c>
      <c r="AF25" s="20">
        <f>AF19*1.1</f>
        <v/>
      </c>
      <c r="AG25" s="20">
        <f>AG19*1.1</f>
        <v/>
      </c>
      <c r="AH25" s="20">
        <f>AH19*1.1</f>
        <v/>
      </c>
      <c r="AI25" s="20">
        <f>AI19*1.1</f>
        <v/>
      </c>
      <c r="AJ25" s="20">
        <f>AJ19*1.1</f>
        <v/>
      </c>
      <c r="AK25" s="20">
        <f>AK19*1.1</f>
        <v/>
      </c>
      <c r="AL25" s="20">
        <f>AL19*1.1</f>
        <v/>
      </c>
      <c r="AM25" s="20">
        <f>AM19*1.1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C20*0.5</f>
        <v/>
      </c>
      <c r="D26" s="20">
        <f>D20*0.5</f>
        <v/>
      </c>
      <c r="E26" s="20">
        <f>E20*0.5</f>
        <v/>
      </c>
      <c r="F26" s="20">
        <f>F20*0.5</f>
        <v/>
      </c>
      <c r="G26" s="20">
        <f>G20*0.5</f>
        <v/>
      </c>
      <c r="H26" s="20">
        <f>H20*0.5</f>
        <v/>
      </c>
      <c r="I26" s="20">
        <f>I20*0.5</f>
        <v/>
      </c>
      <c r="J26" s="20">
        <f>J20*0.5</f>
        <v/>
      </c>
      <c r="K26" s="20">
        <f>K20*0.5</f>
        <v/>
      </c>
      <c r="L26" s="20">
        <f>L20*0.5</f>
        <v/>
      </c>
      <c r="M26" s="20">
        <f>M20*0.5</f>
        <v/>
      </c>
      <c r="N26" s="20">
        <f>N20*0.5</f>
        <v/>
      </c>
      <c r="O26" s="20">
        <f>O20*0.5</f>
        <v/>
      </c>
      <c r="P26" s="20">
        <f>P20*0.5</f>
        <v/>
      </c>
      <c r="Q26" s="20">
        <f>Q20*0.5</f>
        <v/>
      </c>
      <c r="R26" s="20">
        <f>R20*0.5</f>
        <v/>
      </c>
      <c r="S26" s="20">
        <f>S20*0.5</f>
        <v/>
      </c>
      <c r="T26" s="20">
        <f>T20*0.5</f>
        <v/>
      </c>
      <c r="U26" s="20">
        <f>U20*0.5</f>
        <v/>
      </c>
      <c r="V26" s="20">
        <f>V20*0.5</f>
        <v/>
      </c>
      <c r="W26" s="20">
        <f>W20*0.5</f>
        <v/>
      </c>
      <c r="X26" s="20">
        <f>X20*0.5</f>
        <v/>
      </c>
      <c r="Y26" s="20">
        <f>Y20*0.5</f>
        <v/>
      </c>
      <c r="Z26" s="20">
        <f>Z20*0.5</f>
        <v/>
      </c>
      <c r="AA26" s="20">
        <f>AA20*0.5</f>
        <v/>
      </c>
      <c r="AB26" s="20">
        <f>AB20*0.5</f>
        <v/>
      </c>
      <c r="AC26" s="20">
        <f>AC20*0.5</f>
        <v/>
      </c>
      <c r="AD26" s="20">
        <f>AD20*0.5</f>
        <v/>
      </c>
      <c r="AE26" s="20">
        <f>AE20*0.5</f>
        <v/>
      </c>
      <c r="AF26" s="20">
        <f>AF20*0.5</f>
        <v/>
      </c>
      <c r="AG26" s="20">
        <f>AG20*0.5</f>
        <v/>
      </c>
      <c r="AH26" s="20">
        <f>AH20*0.5</f>
        <v/>
      </c>
      <c r="AI26" s="20">
        <f>AI20*0.5</f>
        <v/>
      </c>
      <c r="AJ26" s="20">
        <f>AJ20*0.5</f>
        <v/>
      </c>
      <c r="AK26" s="20">
        <f>AK20*0.5</f>
        <v/>
      </c>
      <c r="AL26" s="20">
        <f>AL20*0.5</f>
        <v/>
      </c>
      <c r="AM26" s="20">
        <f>AM20*0.5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inlineStr">
        <is>
          <t>氢冶金矿石消耗量(万吨)</t>
        </is>
      </c>
      <c r="B27" s="7" t="inlineStr">
        <is>
          <t>铁素资源公式</t>
        </is>
      </c>
      <c r="C27" s="20">
        <f>(C20-C26/1.1)*1.053*1.65</f>
        <v/>
      </c>
      <c r="D27" s="20">
        <f>(D20-D26/1.1)*1.053*1.65</f>
        <v/>
      </c>
      <c r="E27" s="20">
        <f>(E20-E26/1.1)*1.053*1.65</f>
        <v/>
      </c>
      <c r="F27" s="20">
        <f>(F20-F26/1.1)*1.053*1.65</f>
        <v/>
      </c>
      <c r="G27" s="20">
        <f>(G20-G26/1.1)*1.053*1.65</f>
        <v/>
      </c>
      <c r="H27" s="20">
        <f>(H20-H26/1.1)*1.053*1.65</f>
        <v/>
      </c>
      <c r="I27" s="20">
        <f>(I20-I26/1.1)*1.053*1.65</f>
        <v/>
      </c>
      <c r="J27" s="20">
        <f>(J20-J26/1.1)*1.053*1.65</f>
        <v/>
      </c>
      <c r="K27" s="20">
        <f>(K20-K26/1.1)*1.053*1.65</f>
        <v/>
      </c>
      <c r="L27" s="20">
        <f>(L20-L26/1.1)*1.053*1.65</f>
        <v/>
      </c>
      <c r="M27" s="20">
        <f>(M20-M26/1.1)*1.053*1.65</f>
        <v/>
      </c>
      <c r="N27" s="20">
        <f>(N20-N26/1.1)*1.053*1.65</f>
        <v/>
      </c>
      <c r="O27" s="20">
        <f>(O20-O26/1.1)*1.053*1.65</f>
        <v/>
      </c>
      <c r="P27" s="20">
        <f>(P20-P26/1.1)*1.053*1.65</f>
        <v/>
      </c>
      <c r="Q27" s="20">
        <f>(Q20-Q26/1.1)*1.053*1.65</f>
        <v/>
      </c>
      <c r="R27" s="20">
        <f>(R20-R26/1.1)*1.053*1.65</f>
        <v/>
      </c>
      <c r="S27" s="20">
        <f>(S20-S26/1.1)*1.053*1.65</f>
        <v/>
      </c>
      <c r="T27" s="20">
        <f>(T20-T26/1.1)*1.053*1.65</f>
        <v/>
      </c>
      <c r="U27" s="20">
        <f>(U20-U26/1.1)*1.053*1.65</f>
        <v/>
      </c>
      <c r="V27" s="20">
        <f>(V20-V26/1.1)*1.053*1.65</f>
        <v/>
      </c>
      <c r="W27" s="20">
        <f>(W20-W26/1.1)*1.053*1.65</f>
        <v/>
      </c>
      <c r="X27" s="20">
        <f>(X20-X26/1.1)*1.053*1.65</f>
        <v/>
      </c>
      <c r="Y27" s="20">
        <f>(Y20-Y26/1.1)*1.053*1.65</f>
        <v/>
      </c>
      <c r="Z27" s="20">
        <f>(Z20-Z26/1.1)*1.053*1.65</f>
        <v/>
      </c>
      <c r="AA27" s="20">
        <f>(AA20-AA26/1.1)*1.053*1.65</f>
        <v/>
      </c>
      <c r="AB27" s="20">
        <f>(AB20-AB26/1.1)*1.053*1.65</f>
        <v/>
      </c>
      <c r="AC27" s="20">
        <f>(AC20-AC26/1.1)*1.053*1.65</f>
        <v/>
      </c>
      <c r="AD27" s="20">
        <f>(AD20-AD26/1.1)*1.053*1.65</f>
        <v/>
      </c>
      <c r="AE27" s="20">
        <f>(AE20-AE26/1.1)*1.053*1.65</f>
        <v/>
      </c>
      <c r="AF27" s="20">
        <f>(AF20-AF26/1.1)*1.053*1.65</f>
        <v/>
      </c>
      <c r="AG27" s="20">
        <f>(AG20-AG26/1.1)*1.053*1.65</f>
        <v/>
      </c>
      <c r="AH27" s="20">
        <f>(AH20-AH26/1.1)*1.053*1.65</f>
        <v/>
      </c>
      <c r="AI27" s="20">
        <f>(AI20-AI26/1.1)*1.053*1.65</f>
        <v/>
      </c>
      <c r="AJ27" s="20">
        <f>(AJ20-AJ26/1.1)*1.053*1.65</f>
        <v/>
      </c>
      <c r="AK27" s="20">
        <f>(AK20-AK26/1.1)*1.053*1.65</f>
        <v/>
      </c>
      <c r="AL27" s="20">
        <f>(AL20-AL26/1.1)*1.053*1.65</f>
        <v/>
      </c>
      <c r="AM27" s="20">
        <f>(AM20-AM26/1.1)*1.053*1.65</f>
        <v/>
      </c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inlineStr">
        <is>
          <t>矿石消耗总量(万吨)</t>
        </is>
      </c>
      <c r="B29" s="7" t="inlineStr">
        <is>
          <t>铁素资源公式</t>
        </is>
      </c>
      <c r="C29" s="22">
        <f>C24+C27</f>
        <v/>
      </c>
      <c r="D29" s="22">
        <f>D24+D27</f>
        <v/>
      </c>
      <c r="E29" s="22">
        <f>E24+E27</f>
        <v/>
      </c>
      <c r="F29" s="22">
        <f>F24+F27</f>
        <v/>
      </c>
      <c r="G29" s="22">
        <f>G24+G27</f>
        <v/>
      </c>
      <c r="H29" s="22">
        <f>H24+H27</f>
        <v/>
      </c>
      <c r="I29" s="22">
        <f>I24+I27</f>
        <v/>
      </c>
      <c r="J29" s="22">
        <f>J24+J27</f>
        <v/>
      </c>
      <c r="K29" s="22">
        <f>K24+K27</f>
        <v/>
      </c>
      <c r="L29" s="22">
        <f>L24+L27</f>
        <v/>
      </c>
      <c r="M29" s="22">
        <f>M24+M27</f>
        <v/>
      </c>
      <c r="N29" s="22">
        <f>N24+N27</f>
        <v/>
      </c>
      <c r="O29" s="22">
        <f>O24+O27</f>
        <v/>
      </c>
      <c r="P29" s="22">
        <f>P24+P27</f>
        <v/>
      </c>
      <c r="Q29" s="22">
        <f>Q24+Q27</f>
        <v/>
      </c>
      <c r="R29" s="22">
        <f>R24+R27</f>
        <v/>
      </c>
      <c r="S29" s="22">
        <f>S24+S27</f>
        <v/>
      </c>
      <c r="T29" s="22">
        <f>T24+T27</f>
        <v/>
      </c>
      <c r="U29" s="22">
        <f>U24+U27</f>
        <v/>
      </c>
      <c r="V29" s="22">
        <f>V24+V27</f>
        <v/>
      </c>
      <c r="W29" s="22">
        <f>W24+W27</f>
        <v/>
      </c>
      <c r="X29" s="22">
        <f>X24+X27</f>
        <v/>
      </c>
      <c r="Y29" s="22">
        <f>Y24+Y27</f>
        <v/>
      </c>
      <c r="Z29" s="22">
        <f>Z24+Z27</f>
        <v/>
      </c>
      <c r="AA29" s="22">
        <f>AA24+AA27</f>
        <v/>
      </c>
      <c r="AB29" s="22">
        <f>AB24+AB27</f>
        <v/>
      </c>
      <c r="AC29" s="22">
        <f>AC24+AC27</f>
        <v/>
      </c>
      <c r="AD29" s="22">
        <f>AD24+AD27</f>
        <v/>
      </c>
      <c r="AE29" s="22">
        <f>AE24+AE27</f>
        <v/>
      </c>
      <c r="AF29" s="22">
        <f>AF24+AF27</f>
        <v/>
      </c>
      <c r="AG29" s="22">
        <f>AG24+AG27</f>
        <v/>
      </c>
      <c r="AH29" s="22">
        <f>AH24+AH27</f>
        <v/>
      </c>
      <c r="AI29" s="22">
        <f>AI24+AI27</f>
        <v/>
      </c>
      <c r="AJ29" s="22">
        <f>AJ24+AJ27</f>
        <v/>
      </c>
      <c r="AK29" s="22">
        <f>AK24+AK27</f>
        <v/>
      </c>
      <c r="AL29" s="22">
        <f>AL24+AL27</f>
        <v/>
      </c>
      <c r="AM29" s="22">
        <f>AM24+AM27</f>
        <v/>
      </c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0.01666666666666667</v>
      </c>
      <c r="E32" s="44" t="n">
        <v>0.03333333333333333</v>
      </c>
      <c r="F32" s="44" t="n">
        <v>0.05</v>
      </c>
      <c r="G32" s="44" t="n">
        <v>0.06666666666666667</v>
      </c>
      <c r="H32" s="44" t="n">
        <v>0.08333333333333334</v>
      </c>
      <c r="I32" s="44" t="n">
        <v>0.1</v>
      </c>
      <c r="J32" s="44" t="n">
        <v>0.12</v>
      </c>
      <c r="K32" s="44" t="n">
        <v>0.14</v>
      </c>
      <c r="L32" s="44" t="n">
        <v>0.16</v>
      </c>
      <c r="M32" s="44" t="n">
        <v>0.18</v>
      </c>
      <c r="N32" s="44" t="n">
        <v>0.2</v>
      </c>
      <c r="O32" s="44" t="n">
        <v>0.23</v>
      </c>
      <c r="P32" s="44" t="n">
        <v>0.26</v>
      </c>
      <c r="Q32" s="44" t="n">
        <v>0.29</v>
      </c>
      <c r="R32" s="44" t="n">
        <v>0.32</v>
      </c>
      <c r="S32" s="44" t="n">
        <v>0.35</v>
      </c>
      <c r="T32" s="44" t="n">
        <v>0.367</v>
      </c>
      <c r="U32" s="44" t="n">
        <v>0.384</v>
      </c>
      <c r="V32" s="44" t="n">
        <v>0.401</v>
      </c>
      <c r="W32" s="44" t="n">
        <v>0.418</v>
      </c>
      <c r="X32" s="44" t="n">
        <v>0.435</v>
      </c>
      <c r="Y32" s="44" t="n">
        <v>0.452</v>
      </c>
      <c r="Z32" s="44" t="n">
        <v>0.469</v>
      </c>
      <c r="AA32" s="44" t="n">
        <v>0.486</v>
      </c>
      <c r="AB32" s="44" t="n">
        <v>0.503</v>
      </c>
      <c r="AC32" s="44" t="n">
        <v>0.52</v>
      </c>
      <c r="AD32" s="44" t="n">
        <v>0.54</v>
      </c>
      <c r="AE32" s="44" t="n">
        <v>0.5600000000000001</v>
      </c>
      <c r="AF32" s="44" t="n">
        <v>0.58</v>
      </c>
      <c r="AG32" s="44" t="n">
        <v>0.6</v>
      </c>
      <c r="AH32" s="44" t="n">
        <v>0.62</v>
      </c>
      <c r="AI32" s="44" t="n">
        <v>0.64</v>
      </c>
      <c r="AJ32" s="44" t="n">
        <v>0.6599999999999999</v>
      </c>
      <c r="AK32" s="44" t="n">
        <v>0.6799999999999999</v>
      </c>
      <c r="AL32" s="44" t="n">
        <v>0.7</v>
      </c>
      <c r="AM32" s="44" t="n">
        <v>0.72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0.0005</v>
      </c>
      <c r="E36" s="45" t="n">
        <v>0.001</v>
      </c>
      <c r="F36" s="45" t="n">
        <v>0.0015</v>
      </c>
      <c r="G36" s="45" t="n">
        <v>0.002</v>
      </c>
      <c r="H36" s="45" t="n">
        <v>0.0025</v>
      </c>
      <c r="I36" s="45" t="n">
        <v>0.003</v>
      </c>
      <c r="J36" s="45" t="n">
        <v>0.0044</v>
      </c>
      <c r="K36" s="45" t="n">
        <v>0.0058</v>
      </c>
      <c r="L36" s="45" t="n">
        <v>0.0072</v>
      </c>
      <c r="M36" s="45" t="n">
        <v>0.0086</v>
      </c>
      <c r="N36" s="45" t="n">
        <v>0.01</v>
      </c>
      <c r="O36" s="45" t="n">
        <v>0.0116</v>
      </c>
      <c r="P36" s="45" t="n">
        <v>0.0132</v>
      </c>
      <c r="Q36" s="45" t="n">
        <v>0.0148</v>
      </c>
      <c r="R36" s="45" t="n">
        <v>0.0164</v>
      </c>
      <c r="S36" s="45" t="n">
        <v>0.018</v>
      </c>
      <c r="T36" s="45" t="n">
        <v>0.0184</v>
      </c>
      <c r="U36" s="45" t="n">
        <v>0.0188</v>
      </c>
      <c r="V36" s="45" t="n">
        <v>0.0192</v>
      </c>
      <c r="W36" s="45" t="n">
        <v>0.0196</v>
      </c>
      <c r="X36" s="45" t="n">
        <v>0.02</v>
      </c>
      <c r="Y36" s="45" t="n">
        <v>0.0204</v>
      </c>
      <c r="Z36" s="45" t="n">
        <v>0.0208</v>
      </c>
      <c r="AA36" s="45" t="n">
        <v>0.0212</v>
      </c>
      <c r="AB36" s="45" t="n">
        <v>0.0216</v>
      </c>
      <c r="AC36" s="45" t="n">
        <v>0.022</v>
      </c>
      <c r="AD36" s="45" t="n">
        <v>0.0213</v>
      </c>
      <c r="AE36" s="45" t="n">
        <v>0.0206</v>
      </c>
      <c r="AF36" s="45" t="n">
        <v>0.0199</v>
      </c>
      <c r="AG36" s="45" t="n">
        <v>0.0192</v>
      </c>
      <c r="AH36" s="45" t="n">
        <v>0.0185</v>
      </c>
      <c r="AI36" s="45" t="n">
        <v>0.0178</v>
      </c>
      <c r="AJ36" s="45" t="n">
        <v>0.0171</v>
      </c>
      <c r="AK36" s="45" t="n">
        <v>0.0164</v>
      </c>
      <c r="AL36" s="45" t="n">
        <v>0.0157</v>
      </c>
      <c r="AM36" s="45" t="n">
        <v>0.015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产量变化碳排放曲线(万吨CO2)</t>
        </is>
      </c>
      <c r="B41" s="7">
        <f>粗钢产量×1.95</f>
        <v/>
      </c>
      <c r="C41" s="20">
        <f>C13*1.95</f>
        <v/>
      </c>
      <c r="D41" s="20">
        <f>D13*1.95</f>
        <v/>
      </c>
      <c r="E41" s="20">
        <f>E13*1.95</f>
        <v/>
      </c>
      <c r="F41" s="20">
        <f>F13*1.95</f>
        <v/>
      </c>
      <c r="G41" s="20">
        <f>G13*1.95</f>
        <v/>
      </c>
      <c r="H41" s="20">
        <f>H13*1.95</f>
        <v/>
      </c>
      <c r="I41" s="20">
        <f>I13*1.95</f>
        <v/>
      </c>
      <c r="J41" s="20">
        <f>J13*1.95</f>
        <v/>
      </c>
      <c r="K41" s="20">
        <f>K13*1.95</f>
        <v/>
      </c>
      <c r="L41" s="20">
        <f>L13*1.95</f>
        <v/>
      </c>
      <c r="M41" s="20">
        <f>M13*1.95</f>
        <v/>
      </c>
      <c r="N41" s="20">
        <f>N13*1.95</f>
        <v/>
      </c>
      <c r="O41" s="20">
        <f>O13*1.95</f>
        <v/>
      </c>
      <c r="P41" s="20">
        <f>P13*1.95</f>
        <v/>
      </c>
      <c r="Q41" s="20">
        <f>Q13*1.95</f>
        <v/>
      </c>
      <c r="R41" s="20">
        <f>R13*1.95</f>
        <v/>
      </c>
      <c r="S41" s="20">
        <f>S13*1.95</f>
        <v/>
      </c>
      <c r="T41" s="20">
        <f>T13*1.95</f>
        <v/>
      </c>
      <c r="U41" s="20">
        <f>U13*1.95</f>
        <v/>
      </c>
      <c r="V41" s="20">
        <f>V13*1.95</f>
        <v/>
      </c>
      <c r="W41" s="20">
        <f>W13*1.95</f>
        <v/>
      </c>
      <c r="X41" s="20">
        <f>X13*1.95</f>
        <v/>
      </c>
      <c r="Y41" s="20">
        <f>Y13*1.95</f>
        <v/>
      </c>
      <c r="Z41" s="20">
        <f>Z13*1.95</f>
        <v/>
      </c>
      <c r="AA41" s="20">
        <f>AA13*1.95</f>
        <v/>
      </c>
      <c r="AB41" s="20">
        <f>AB13*1.95</f>
        <v/>
      </c>
      <c r="AC41" s="20">
        <f>AC13*1.95</f>
        <v/>
      </c>
      <c r="AD41" s="20">
        <f>AD13*1.95</f>
        <v/>
      </c>
      <c r="AE41" s="20">
        <f>AE13*1.95</f>
        <v/>
      </c>
      <c r="AF41" s="20">
        <f>AF13*1.95</f>
        <v/>
      </c>
      <c r="AG41" s="20">
        <f>AG13*1.95</f>
        <v/>
      </c>
      <c r="AH41" s="20">
        <f>AH13*1.95</f>
        <v/>
      </c>
      <c r="AI41" s="20">
        <f>AI13*1.95</f>
        <v/>
      </c>
      <c r="AJ41" s="20">
        <f>AJ13*1.95</f>
        <v/>
      </c>
      <c r="AK41" s="20">
        <f>AK13*1.95</f>
        <v/>
      </c>
      <c r="AL41" s="20">
        <f>AL13*1.95</f>
        <v/>
      </c>
      <c r="AM41" s="20">
        <f>AM13*1.95</f>
        <v/>
      </c>
    </row>
    <row r="42" ht="17" customHeight="1">
      <c r="A42" s="2" t="inlineStr">
        <is>
          <t>产量变化降碳潜力(万吨CO2)</t>
        </is>
      </c>
      <c r="B42" s="7">
        <f>基准产量×1.95-当年曲线</f>
        <v/>
      </c>
      <c r="C42" s="20">
        <f>100509*1.95-C41</f>
        <v/>
      </c>
      <c r="D42" s="20">
        <f>100509*1.95-D41</f>
        <v/>
      </c>
      <c r="E42" s="20">
        <f>100509*1.95-E41</f>
        <v/>
      </c>
      <c r="F42" s="20">
        <f>100509*1.95-F41</f>
        <v/>
      </c>
      <c r="G42" s="20">
        <f>100509*1.95-G41</f>
        <v/>
      </c>
      <c r="H42" s="20">
        <f>100509*1.95-H41</f>
        <v/>
      </c>
      <c r="I42" s="20">
        <f>100509*1.95-I41</f>
        <v/>
      </c>
      <c r="J42" s="20">
        <f>100509*1.95-J41</f>
        <v/>
      </c>
      <c r="K42" s="20">
        <f>100509*1.95-K41</f>
        <v/>
      </c>
      <c r="L42" s="20">
        <f>100509*1.95-L41</f>
        <v/>
      </c>
      <c r="M42" s="20">
        <f>100509*1.95-M41</f>
        <v/>
      </c>
      <c r="N42" s="20">
        <f>100509*1.95-N41</f>
        <v/>
      </c>
      <c r="O42" s="20">
        <f>100509*1.95-O41</f>
        <v/>
      </c>
      <c r="P42" s="20">
        <f>100509*1.95-P41</f>
        <v/>
      </c>
      <c r="Q42" s="20">
        <f>100509*1.95-Q41</f>
        <v/>
      </c>
      <c r="R42" s="20">
        <f>100509*1.95-R41</f>
        <v/>
      </c>
      <c r="S42" s="20">
        <f>100509*1.95-S41</f>
        <v/>
      </c>
      <c r="T42" s="20">
        <f>100509*1.95-T41</f>
        <v/>
      </c>
      <c r="U42" s="20">
        <f>100509*1.95-U41</f>
        <v/>
      </c>
      <c r="V42" s="20">
        <f>100509*1.95-V41</f>
        <v/>
      </c>
      <c r="W42" s="20">
        <f>100509*1.95-W41</f>
        <v/>
      </c>
      <c r="X42" s="20">
        <f>100509*1.95-X41</f>
        <v/>
      </c>
      <c r="Y42" s="20">
        <f>100509*1.95-Y41</f>
        <v/>
      </c>
      <c r="Z42" s="20">
        <f>100509*1.95-Z41</f>
        <v/>
      </c>
      <c r="AA42" s="20">
        <f>100509*1.95-AA41</f>
        <v/>
      </c>
      <c r="AB42" s="20">
        <f>100509*1.95-AB41</f>
        <v/>
      </c>
      <c r="AC42" s="20">
        <f>100509*1.95-AC41</f>
        <v/>
      </c>
      <c r="AD42" s="20">
        <f>100509*1.95-AD41</f>
        <v/>
      </c>
      <c r="AE42" s="20">
        <f>100509*1.95-AE41</f>
        <v/>
      </c>
      <c r="AF42" s="20">
        <f>100509*1.95-AF41</f>
        <v/>
      </c>
      <c r="AG42" s="20">
        <f>100509*1.95-AG41</f>
        <v/>
      </c>
      <c r="AH42" s="20">
        <f>100509*1.95-AH41</f>
        <v/>
      </c>
      <c r="AI42" s="20">
        <f>100509*1.95-AI41</f>
        <v/>
      </c>
      <c r="AJ42" s="20">
        <f>100509*1.95-AJ41</f>
        <v/>
      </c>
      <c r="AK42" s="20">
        <f>100509*1.95-AK41</f>
        <v/>
      </c>
      <c r="AL42" s="20">
        <f>100509*1.95-AL41</f>
        <v/>
      </c>
      <c r="AM42" s="20">
        <f>100509*1.95-AM41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((C28-38394.44)/1.1)*(1.8-0.45)</f>
        <v/>
      </c>
      <c r="D44" s="20">
        <f>((D28-38394.44)/1.1)*(1.8-0.45)</f>
        <v/>
      </c>
      <c r="E44" s="20">
        <f>((E28-38394.44)/1.1)*(1.8-0.45)</f>
        <v/>
      </c>
      <c r="F44" s="20">
        <f>((F28-38394.44)/1.1)*(1.8-0.45)</f>
        <v/>
      </c>
      <c r="G44" s="20">
        <f>((G28-38394.44)/1.1)*(1.8-0.45)</f>
        <v/>
      </c>
      <c r="H44" s="20">
        <f>((H28-38394.44)/1.1)*(1.8-0.45)</f>
        <v/>
      </c>
      <c r="I44" s="20">
        <f>((I28-38394.44)/1.1)*(1.8-0.45)</f>
        <v/>
      </c>
      <c r="J44" s="20">
        <f>((J28-38394.44)/1.1)*(1.8-0.45)</f>
        <v/>
      </c>
      <c r="K44" s="20">
        <f>((K28-38394.44)/1.1)*(1.8-0.45)</f>
        <v/>
      </c>
      <c r="L44" s="20">
        <f>((L28-38394.44)/1.1)*(1.8-0.45)</f>
        <v/>
      </c>
      <c r="M44" s="20">
        <f>((M28-38394.44)/1.1)*(1.8-0.45)</f>
        <v/>
      </c>
      <c r="N44" s="20">
        <f>((N28-38394.44)/1.1)*(1.8-0.45)</f>
        <v/>
      </c>
      <c r="O44" s="20">
        <f>((O28-38394.44)/1.1)*(1.8-0.45)</f>
        <v/>
      </c>
      <c r="P44" s="20">
        <f>((P28-38394.44)/1.1)*(1.8-0.45)</f>
        <v/>
      </c>
      <c r="Q44" s="20">
        <f>((Q28-38394.44)/1.1)*(1.8-0.45)</f>
        <v/>
      </c>
      <c r="R44" s="20">
        <f>((R28-38394.44)/1.1)*(1.8-0.45)</f>
        <v/>
      </c>
      <c r="S44" s="20">
        <f>((S28-38394.44)/1.1)*(1.8-0.45)</f>
        <v/>
      </c>
      <c r="T44" s="20">
        <f>((T28-38394.44)/1.1)*(1.8-0.45)</f>
        <v/>
      </c>
      <c r="U44" s="20">
        <f>((U28-38394.44)/1.1)*(1.8-0.45)</f>
        <v/>
      </c>
      <c r="V44" s="20">
        <f>((V28-38394.44)/1.1)*(1.8-0.45)</f>
        <v/>
      </c>
      <c r="W44" s="20">
        <f>((W28-38394.44)/1.1)*(1.8-0.45)</f>
        <v/>
      </c>
      <c r="X44" s="20">
        <f>((X28-38394.44)/1.1)*(1.8-0.45)</f>
        <v/>
      </c>
      <c r="Y44" s="20">
        <f>((Y28-38394.44)/1.1)*(1.8-0.45)</f>
        <v/>
      </c>
      <c r="Z44" s="20">
        <f>((Z28-38394.44)/1.1)*(1.8-0.45)</f>
        <v/>
      </c>
      <c r="AA44" s="20">
        <f>((AA28-38394.44)/1.1)*(1.8-0.45)</f>
        <v/>
      </c>
      <c r="AB44" s="20">
        <f>((AB28-38394.44)/1.1)*(1.8-0.45)</f>
        <v/>
      </c>
      <c r="AC44" s="20">
        <f>((AC28-38394.44)/1.1)*(1.8-0.45)</f>
        <v/>
      </c>
      <c r="AD44" s="20">
        <f>((AD28-38394.44)/1.1)*(1.8-0.45)</f>
        <v/>
      </c>
      <c r="AE44" s="20">
        <f>((AE28-38394.44)/1.1)*(1.8-0.45)</f>
        <v/>
      </c>
      <c r="AF44" s="20">
        <f>((AF28-38394.44)/1.1)*(1.8-0.45)</f>
        <v/>
      </c>
      <c r="AG44" s="20">
        <f>((AG28-38394.44)/1.1)*(1.8-0.45)</f>
        <v/>
      </c>
      <c r="AH44" s="20">
        <f>((AH28-38394.44)/1.1)*(1.8-0.45)</f>
        <v/>
      </c>
      <c r="AI44" s="20">
        <f>((AI28-38394.44)/1.1)*(1.8-0.45)</f>
        <v/>
      </c>
      <c r="AJ44" s="20">
        <f>((AJ28-38394.44)/1.1)*(1.8-0.45)</f>
        <v/>
      </c>
      <c r="AK44" s="20">
        <f>((AK28-38394.44)/1.1)*(1.8-0.45)</f>
        <v/>
      </c>
      <c r="AL44" s="20">
        <f>((AL28-38394.44)/1.1)*(1.8-0.45)</f>
        <v/>
      </c>
      <c r="AM44" s="20">
        <f>((AM28-38394.44)/1.1)*(1.8-0.45)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C41-C44</f>
        <v/>
      </c>
      <c r="D45" s="20">
        <f>D41-D44</f>
        <v/>
      </c>
      <c r="E45" s="20">
        <f>E41-E44</f>
        <v/>
      </c>
      <c r="F45" s="20">
        <f>F41-F44</f>
        <v/>
      </c>
      <c r="G45" s="20">
        <f>G41-G44</f>
        <v/>
      </c>
      <c r="H45" s="20">
        <f>H41-H44</f>
        <v/>
      </c>
      <c r="I45" s="20">
        <f>I41-I44</f>
        <v/>
      </c>
      <c r="J45" s="20">
        <f>J41-J44</f>
        <v/>
      </c>
      <c r="K45" s="20">
        <f>K41-K44</f>
        <v/>
      </c>
      <c r="L45" s="20">
        <f>L41-L44</f>
        <v/>
      </c>
      <c r="M45" s="20">
        <f>M41-M44</f>
        <v/>
      </c>
      <c r="N45" s="20">
        <f>N41-N44</f>
        <v/>
      </c>
      <c r="O45" s="20">
        <f>O41-O44</f>
        <v/>
      </c>
      <c r="P45" s="20">
        <f>P41-P44</f>
        <v/>
      </c>
      <c r="Q45" s="20">
        <f>Q41-Q44</f>
        <v/>
      </c>
      <c r="R45" s="20">
        <f>R41-R44</f>
        <v/>
      </c>
      <c r="S45" s="20">
        <f>S41-S44</f>
        <v/>
      </c>
      <c r="T45" s="20">
        <f>T41-T44</f>
        <v/>
      </c>
      <c r="U45" s="20">
        <f>U41-U44</f>
        <v/>
      </c>
      <c r="V45" s="20">
        <f>V41-V44</f>
        <v/>
      </c>
      <c r="W45" s="20">
        <f>W41-W44</f>
        <v/>
      </c>
      <c r="X45" s="20">
        <f>X41-X44</f>
        <v/>
      </c>
      <c r="Y45" s="20">
        <f>Y41-Y44</f>
        <v/>
      </c>
      <c r="Z45" s="20">
        <f>Z41-Z44</f>
        <v/>
      </c>
      <c r="AA45" s="20">
        <f>AA41-AA44</f>
        <v/>
      </c>
      <c r="AB45" s="20">
        <f>AB41-AB44</f>
        <v/>
      </c>
      <c r="AC45" s="20">
        <f>AC41-AC44</f>
        <v/>
      </c>
      <c r="AD45" s="20">
        <f>AD41-AD44</f>
        <v/>
      </c>
      <c r="AE45" s="20">
        <f>AE41-AE44</f>
        <v/>
      </c>
      <c r="AF45" s="20">
        <f>AF41-AF44</f>
        <v/>
      </c>
      <c r="AG45" s="20">
        <f>AG41-AG44</f>
        <v/>
      </c>
      <c r="AH45" s="20">
        <f>AH41-AH44</f>
        <v/>
      </c>
      <c r="AI45" s="20">
        <f>AI41-AI44</f>
        <v/>
      </c>
      <c r="AJ45" s="20">
        <f>AJ41-AJ44</f>
        <v/>
      </c>
      <c r="AK45" s="20">
        <f>AK41-AK44</f>
        <v/>
      </c>
      <c r="AL45" s="20">
        <f>AL41-AL44</f>
        <v/>
      </c>
      <c r="AM45" s="20">
        <f>AM41-AM44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(C25-11055.99)*1.26</f>
        <v/>
      </c>
      <c r="D47" s="20">
        <f>(D25-11055.99)*1.26</f>
        <v/>
      </c>
      <c r="E47" s="20">
        <f>(E25-11055.99)*1.26</f>
        <v/>
      </c>
      <c r="F47" s="20">
        <f>(F25-11055.99)*1.26</f>
        <v/>
      </c>
      <c r="G47" s="20">
        <f>(G25-11055.99)*1.26</f>
        <v/>
      </c>
      <c r="H47" s="20">
        <f>(H25-11055.99)*1.26</f>
        <v/>
      </c>
      <c r="I47" s="20">
        <f>(I25-11055.99)*1.26</f>
        <v/>
      </c>
      <c r="J47" s="20">
        <f>(J25-11055.99)*1.26</f>
        <v/>
      </c>
      <c r="K47" s="20">
        <f>(K25-11055.99)*1.26</f>
        <v/>
      </c>
      <c r="L47" s="20">
        <f>(L25-11055.99)*1.26</f>
        <v/>
      </c>
      <c r="M47" s="20">
        <f>(M25-11055.99)*1.26</f>
        <v/>
      </c>
      <c r="N47" s="20">
        <f>(N25-11055.99)*1.26</f>
        <v/>
      </c>
      <c r="O47" s="20">
        <f>(O25-11055.99)*1.26</f>
        <v/>
      </c>
      <c r="P47" s="20">
        <f>(P25-11055.99)*1.26</f>
        <v/>
      </c>
      <c r="Q47" s="20">
        <f>(Q25-11055.99)*1.26</f>
        <v/>
      </c>
      <c r="R47" s="20">
        <f>(R25-11055.99)*1.26</f>
        <v/>
      </c>
      <c r="S47" s="20">
        <f>(S25-11055.99)*1.26</f>
        <v/>
      </c>
      <c r="T47" s="20">
        <f>(T25-11055.99)*1.26</f>
        <v/>
      </c>
      <c r="U47" s="20">
        <f>(U25-11055.99)*1.26</f>
        <v/>
      </c>
      <c r="V47" s="20">
        <f>(V25-11055.99)*1.26</f>
        <v/>
      </c>
      <c r="W47" s="20">
        <f>(W25-11055.99)*1.26</f>
        <v/>
      </c>
      <c r="X47" s="20">
        <f>(X25-11055.99)*1.26</f>
        <v/>
      </c>
      <c r="Y47" s="20">
        <f>(Y25-11055.99)*1.26</f>
        <v/>
      </c>
      <c r="Z47" s="20">
        <f>(Z25-11055.99)*1.26</f>
        <v/>
      </c>
      <c r="AA47" s="20">
        <f>(AA25-11055.99)*1.26</f>
        <v/>
      </c>
      <c r="AB47" s="20">
        <f>(AB25-11055.99)*1.26</f>
        <v/>
      </c>
      <c r="AC47" s="20">
        <f>(AC25-11055.99)*1.26</f>
        <v/>
      </c>
      <c r="AD47" s="20">
        <f>(AD25-11055.99)*1.26</f>
        <v/>
      </c>
      <c r="AE47" s="20">
        <f>(AE25-11055.99)*1.26</f>
        <v/>
      </c>
      <c r="AF47" s="20">
        <f>(AF25-11055.99)*1.26</f>
        <v/>
      </c>
      <c r="AG47" s="20">
        <f>(AG25-11055.99)*1.26</f>
        <v/>
      </c>
      <c r="AH47" s="20">
        <f>(AH25-11055.99)*1.26</f>
        <v/>
      </c>
      <c r="AI47" s="20">
        <f>(AI25-11055.99)*1.26</f>
        <v/>
      </c>
      <c r="AJ47" s="20">
        <f>(AJ25-11055.99)*1.26</f>
        <v/>
      </c>
      <c r="AK47" s="20">
        <f>(AK25-11055.99)*1.26</f>
        <v/>
      </c>
      <c r="AL47" s="20">
        <f>(AL25-11055.99)*1.26</f>
        <v/>
      </c>
      <c r="AM47" s="20">
        <f>(AM25-11055.99)*1.26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((C27-952.52)/1.65)*1.26</f>
        <v/>
      </c>
      <c r="D50" s="20">
        <f>((D27-952.52)/1.65)*1.26</f>
        <v/>
      </c>
      <c r="E50" s="20">
        <f>((E27-952.52)/1.65)*1.26</f>
        <v/>
      </c>
      <c r="F50" s="20">
        <f>((F27-952.52)/1.65)*1.26</f>
        <v/>
      </c>
      <c r="G50" s="20">
        <f>((G27-952.52)/1.65)*1.26</f>
        <v/>
      </c>
      <c r="H50" s="20">
        <f>((H27-952.52)/1.65)*1.26</f>
        <v/>
      </c>
      <c r="I50" s="20">
        <f>((I27-952.52)/1.65)*1.26</f>
        <v/>
      </c>
      <c r="J50" s="20">
        <f>((J27-952.52)/1.65)*1.26</f>
        <v/>
      </c>
      <c r="K50" s="20">
        <f>((K27-952.52)/1.65)*1.26</f>
        <v/>
      </c>
      <c r="L50" s="20">
        <f>((L27-952.52)/1.65)*1.26</f>
        <v/>
      </c>
      <c r="M50" s="20">
        <f>((M27-952.52)/1.65)*1.26</f>
        <v/>
      </c>
      <c r="N50" s="20">
        <f>((N27-952.52)/1.65)*1.26</f>
        <v/>
      </c>
      <c r="O50" s="20">
        <f>((O27-952.52)/1.65)*1.26</f>
        <v/>
      </c>
      <c r="P50" s="20">
        <f>((P27-952.52)/1.65)*1.26</f>
        <v/>
      </c>
      <c r="Q50" s="20">
        <f>((Q27-952.52)/1.65)*1.26</f>
        <v/>
      </c>
      <c r="R50" s="20">
        <f>((R27-952.52)/1.65)*1.26</f>
        <v/>
      </c>
      <c r="S50" s="20">
        <f>((S27-952.52)/1.65)*1.26</f>
        <v/>
      </c>
      <c r="T50" s="20">
        <f>((T27-952.52)/1.65)*1.26</f>
        <v/>
      </c>
      <c r="U50" s="20">
        <f>((U27-952.52)/1.65)*1.26</f>
        <v/>
      </c>
      <c r="V50" s="20">
        <f>((V27-952.52)/1.65)*1.26</f>
        <v/>
      </c>
      <c r="W50" s="20">
        <f>((W27-952.52)/1.65)*1.26</f>
        <v/>
      </c>
      <c r="X50" s="20">
        <f>((X27-952.52)/1.65)*1.26</f>
        <v/>
      </c>
      <c r="Y50" s="20">
        <f>((Y27-952.52)/1.65)*1.26</f>
        <v/>
      </c>
      <c r="Z50" s="20">
        <f>((Z27-952.52)/1.65)*1.26</f>
        <v/>
      </c>
      <c r="AA50" s="20">
        <f>((AA27-952.52)/1.65)*1.26</f>
        <v/>
      </c>
      <c r="AB50" s="20">
        <f>((AB27-952.52)/1.65)*1.26</f>
        <v/>
      </c>
      <c r="AC50" s="20">
        <f>((AC27-952.52)/1.65)*1.26</f>
        <v/>
      </c>
      <c r="AD50" s="20">
        <f>((AD27-952.52)/1.65)*1.26</f>
        <v/>
      </c>
      <c r="AE50" s="20">
        <f>((AE27-952.52)/1.65)*1.26</f>
        <v/>
      </c>
      <c r="AF50" s="20">
        <f>((AF27-952.52)/1.65)*1.26</f>
        <v/>
      </c>
      <c r="AG50" s="20">
        <f>((AG27-952.52)/1.65)*1.26</f>
        <v/>
      </c>
      <c r="AH50" s="20">
        <f>((AH27-952.52)/1.65)*1.26</f>
        <v/>
      </c>
      <c r="AI50" s="20">
        <f>((AI27-952.52)/1.65)*1.26</f>
        <v/>
      </c>
      <c r="AJ50" s="20">
        <f>((AJ27-952.52)/1.65)*1.26</f>
        <v/>
      </c>
      <c r="AK50" s="20">
        <f>((AK27-952.52)/1.65)*1.26</f>
        <v/>
      </c>
      <c r="AL50" s="20">
        <f>((AL27-952.52)/1.65)*1.26</f>
        <v/>
      </c>
      <c r="AM50" s="20">
        <f>((AM27-952.52)/1.65)*1.26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 t="n">
        <v>0</v>
      </c>
      <c r="D59" s="44">
        <f>MAX(0,MIN(0.98,IF(D57&gt;0,1-汇总对比与可视化看板!B4*D13/D57,0)))</f>
        <v/>
      </c>
      <c r="E59" s="44">
        <f>MAX(0,MIN(0.98,IF(E57&gt;0,1-汇总对比与可视化看板!B5*E13/E57,0)))</f>
        <v/>
      </c>
      <c r="F59" s="44">
        <f>MAX(0,MIN(0.98,IF(F57&gt;0,1-汇总对比与可视化看板!B6*F13/F57,0)))</f>
        <v/>
      </c>
      <c r="G59" s="44">
        <f>MAX(0,MIN(0.98,IF(G57&gt;0,1-汇总对比与可视化看板!B7*G13/G57,0)))</f>
        <v/>
      </c>
      <c r="H59" s="44">
        <f>MAX(0,MIN(0.98,IF(H57&gt;0,1-汇总对比与可视化看板!B8*H13/H57,0)))</f>
        <v/>
      </c>
      <c r="I59" s="44">
        <f>MAX(0,MIN(0.98,IF(I57&gt;0,1-汇总对比与可视化看板!B9*I13/I57,0)))</f>
        <v/>
      </c>
      <c r="J59" s="44">
        <f>MAX(0,MIN(0.98,IF(J57&gt;0,1-汇总对比与可视化看板!B10*J13/J57,0)))</f>
        <v/>
      </c>
      <c r="K59" s="44">
        <f>MAX(0,MIN(0.98,IF(K57&gt;0,1-汇总对比与可视化看板!B11*K13/K57,0)))</f>
        <v/>
      </c>
      <c r="L59" s="44">
        <f>MAX(0,MIN(0.98,IF(L57&gt;0,1-汇总对比与可视化看板!B12*L13/L57,0)))</f>
        <v/>
      </c>
      <c r="M59" s="44">
        <f>MAX(0,MIN(0.98,IF(M57&gt;0,1-汇总对比与可视化看板!B13*M13/M57,0)))</f>
        <v/>
      </c>
      <c r="N59" s="44">
        <f>MAX(0,MIN(0.98,IF(N57&gt;0,1-汇总对比与可视化看板!B14*N13/N57,0)))</f>
        <v/>
      </c>
      <c r="O59" s="44">
        <f>MAX(0,MIN(0.98,IF(O57&gt;0,1-汇总对比与可视化看板!B15*O13/O57,0)))</f>
        <v/>
      </c>
      <c r="P59" s="44">
        <f>MAX(0,MIN(0.98,IF(P57&gt;0,1-汇总对比与可视化看板!B16*P13/P57,0)))</f>
        <v/>
      </c>
      <c r="Q59" s="44">
        <f>MAX(0,MIN(0.98,IF(Q57&gt;0,1-汇总对比与可视化看板!B17*Q13/Q57,0)))</f>
        <v/>
      </c>
      <c r="R59" s="44">
        <f>MAX(0,MIN(0.98,IF(R57&gt;0,1-汇总对比与可视化看板!B18*R13/R57,0)))</f>
        <v/>
      </c>
      <c r="S59" s="44">
        <f>MAX(0,MIN(0.98,IF(S57&gt;0,1-汇总对比与可视化看板!B19*S13/S57,0)))</f>
        <v/>
      </c>
      <c r="T59" s="44">
        <f>MAX(0,MIN(0.98,IF(T57&gt;0,1-汇总对比与可视化看板!B20*T13/T57,0)))</f>
        <v/>
      </c>
      <c r="U59" s="44">
        <f>MAX(0,MIN(0.98,IF(U57&gt;0,1-汇总对比与可视化看板!B21*U13/U57,0)))</f>
        <v/>
      </c>
      <c r="V59" s="44">
        <f>MAX(0,MIN(0.98,IF(V57&gt;0,1-汇总对比与可视化看板!B22*V13/V57,0)))</f>
        <v/>
      </c>
      <c r="W59" s="44">
        <f>MAX(0,MIN(0.98,IF(W57&gt;0,1-汇总对比与可视化看板!B23*W13/W57,0)))</f>
        <v/>
      </c>
      <c r="X59" s="44">
        <f>MAX(0,MIN(0.98,IF(X57&gt;0,1-汇总对比与可视化看板!B24*X13/X57,0)))</f>
        <v/>
      </c>
      <c r="Y59" s="44">
        <f>MAX(0,MIN(0.98,IF(Y57&gt;0,1-汇总对比与可视化看板!B25*Y13/Y57,0)))</f>
        <v/>
      </c>
      <c r="Z59" s="44">
        <f>MAX(0,MIN(0.98,IF(Z57&gt;0,1-汇总对比与可视化看板!B26*Z13/Z57,0)))</f>
        <v/>
      </c>
      <c r="AA59" s="44">
        <f>MAX(0,MIN(0.98,IF(AA57&gt;0,1-汇总对比与可视化看板!B27*AA13/AA57,0)))</f>
        <v/>
      </c>
      <c r="AB59" s="44">
        <f>MAX(0,MIN(0.98,IF(AB57&gt;0,1-汇总对比与可视化看板!B28*AB13/AB57,0)))</f>
        <v/>
      </c>
      <c r="AC59" s="44">
        <f>MAX(0,MIN(0.98,IF(AC57&gt;0,1-汇总对比与可视化看板!B29*AC13/AC57,0)))</f>
        <v/>
      </c>
      <c r="AD59" s="44">
        <f>MAX(0,MIN(0.98,IF(AD57&gt;0,1-汇总对比与可视化看板!B30*AD13/AD57,0)))</f>
        <v/>
      </c>
      <c r="AE59" s="44">
        <f>MAX(0,MIN(0.98,IF(AE57&gt;0,1-汇总对比与可视化看板!B31*AE13/AE57,0)))</f>
        <v/>
      </c>
      <c r="AF59" s="44">
        <f>MAX(0,MIN(0.98,IF(AF57&gt;0,1-汇总对比与可视化看板!B32*AF13/AF57,0)))</f>
        <v/>
      </c>
      <c r="AG59" s="44">
        <f>MAX(0,MIN(0.98,IF(AG57&gt;0,1-汇总对比与可视化看板!B33*AG13/AG57,0)))</f>
        <v/>
      </c>
      <c r="AH59" s="44">
        <f>MAX(0,MIN(0.98,IF(AH57&gt;0,1-汇总对比与可视化看板!B34*AH13/AH57,0)))</f>
        <v/>
      </c>
      <c r="AI59" s="44">
        <f>MAX(0,MIN(0.98,IF(AI57&gt;0,1-汇总对比与可视化看板!B35*AI13/AI57,0)))</f>
        <v/>
      </c>
      <c r="AJ59" s="44">
        <f>MAX(0,MIN(0.98,IF(AJ57&gt;0,1-汇总对比与可视化看板!B36*AJ13/AJ57,0)))</f>
        <v/>
      </c>
      <c r="AK59" s="44">
        <f>MAX(0,MIN(0.98,IF(AK57&gt;0,1-汇总对比与可视化看板!B37*AK13/AK57,0)))</f>
        <v/>
      </c>
      <c r="AL59" s="44">
        <f>MAX(0,MIN(0.98,IF(AL57&gt;0,1-汇总对比与可视化看板!B38*AL13/AL57,0)))</f>
        <v/>
      </c>
      <c r="AM59" s="44">
        <f>MAX(0,MIN(0.98,IF(AM57&gt;0,1-汇总对比与可视化看板!B39*AM13/AM57,0)))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C57*C59</f>
        <v/>
      </c>
      <c r="D60" s="28">
        <f>D57*D59</f>
        <v/>
      </c>
      <c r="E60" s="28">
        <f>E57*E59</f>
        <v/>
      </c>
      <c r="F60" s="28">
        <f>F57*F59</f>
        <v/>
      </c>
      <c r="G60" s="28">
        <f>G57*G59</f>
        <v/>
      </c>
      <c r="H60" s="28">
        <f>H57*H59</f>
        <v/>
      </c>
      <c r="I60" s="28">
        <f>I57*I59</f>
        <v/>
      </c>
      <c r="J60" s="28">
        <f>J57*J59</f>
        <v/>
      </c>
      <c r="K60" s="28">
        <f>K57*K59</f>
        <v/>
      </c>
      <c r="L60" s="28">
        <f>L57*L59</f>
        <v/>
      </c>
      <c r="M60" s="28">
        <f>M57*M59</f>
        <v/>
      </c>
      <c r="N60" s="28">
        <f>N57*N59</f>
        <v/>
      </c>
      <c r="O60" s="28">
        <f>O57*O59</f>
        <v/>
      </c>
      <c r="P60" s="28">
        <f>P57*P59</f>
        <v/>
      </c>
      <c r="Q60" s="28">
        <f>Q57*Q59</f>
        <v/>
      </c>
      <c r="R60" s="28">
        <f>R57*R59</f>
        <v/>
      </c>
      <c r="S60" s="28">
        <f>S57*S59</f>
        <v/>
      </c>
      <c r="T60" s="28">
        <f>T57*T59</f>
        <v/>
      </c>
      <c r="U60" s="28">
        <f>U57*U59</f>
        <v/>
      </c>
      <c r="V60" s="28">
        <f>V57*V59</f>
        <v/>
      </c>
      <c r="W60" s="28">
        <f>W57*W59</f>
        <v/>
      </c>
      <c r="X60" s="28">
        <f>X57*X59</f>
        <v/>
      </c>
      <c r="Y60" s="28">
        <f>Y57*Y59</f>
        <v/>
      </c>
      <c r="Z60" s="28">
        <f>Z57*Z59</f>
        <v/>
      </c>
      <c r="AA60" s="28">
        <f>AA57*AA59</f>
        <v/>
      </c>
      <c r="AB60" s="28">
        <f>AB57*AB59</f>
        <v/>
      </c>
      <c r="AC60" s="28">
        <f>AC57*AC59</f>
        <v/>
      </c>
      <c r="AD60" s="28">
        <f>AD57*AD59</f>
        <v/>
      </c>
      <c r="AE60" s="28">
        <f>AE57*AE59</f>
        <v/>
      </c>
      <c r="AF60" s="28">
        <f>AF57*AF59</f>
        <v/>
      </c>
      <c r="AG60" s="28">
        <f>AG57*AG59</f>
        <v/>
      </c>
      <c r="AH60" s="28">
        <f>AH57*AH59</f>
        <v/>
      </c>
      <c r="AI60" s="28">
        <f>AI57*AI59</f>
        <v/>
      </c>
      <c r="AJ60" s="28">
        <f>AJ57*AJ59</f>
        <v/>
      </c>
      <c r="AK60" s="28">
        <f>AK57*AK59</f>
        <v/>
      </c>
      <c r="AL60" s="28">
        <f>AL57*AL59</f>
        <v/>
      </c>
      <c r="AM60" s="28">
        <f>AM57*AM59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C57-C60</f>
        <v/>
      </c>
      <c r="D62" s="28">
        <f>D57-D60</f>
        <v/>
      </c>
      <c r="E62" s="28">
        <f>E57-E60</f>
        <v/>
      </c>
      <c r="F62" s="28">
        <f>F57-F60</f>
        <v/>
      </c>
      <c r="G62" s="28">
        <f>G57-G60</f>
        <v/>
      </c>
      <c r="H62" s="28">
        <f>H57-H60</f>
        <v/>
      </c>
      <c r="I62" s="28">
        <f>I57-I60</f>
        <v/>
      </c>
      <c r="J62" s="28">
        <f>J57-J60</f>
        <v/>
      </c>
      <c r="K62" s="28">
        <f>K57-K60</f>
        <v/>
      </c>
      <c r="L62" s="28">
        <f>L57-L60</f>
        <v/>
      </c>
      <c r="M62" s="28">
        <f>M57-M60</f>
        <v/>
      </c>
      <c r="N62" s="28">
        <f>N57-N60</f>
        <v/>
      </c>
      <c r="O62" s="28">
        <f>O57-O60</f>
        <v/>
      </c>
      <c r="P62" s="28">
        <f>P57-P60</f>
        <v/>
      </c>
      <c r="Q62" s="28">
        <f>Q57-Q60</f>
        <v/>
      </c>
      <c r="R62" s="28">
        <f>R57-R60</f>
        <v/>
      </c>
      <c r="S62" s="28">
        <f>S57-S60</f>
        <v/>
      </c>
      <c r="T62" s="28">
        <f>T57-T60</f>
        <v/>
      </c>
      <c r="U62" s="28">
        <f>U57-U60</f>
        <v/>
      </c>
      <c r="V62" s="28">
        <f>V57-V60</f>
        <v/>
      </c>
      <c r="W62" s="28">
        <f>W57-W60</f>
        <v/>
      </c>
      <c r="X62" s="28">
        <f>X57-X60</f>
        <v/>
      </c>
      <c r="Y62" s="28">
        <f>Y57-Y60</f>
        <v/>
      </c>
      <c r="Z62" s="28">
        <f>Z57-Z60</f>
        <v/>
      </c>
      <c r="AA62" s="28">
        <f>AA57-AA60</f>
        <v/>
      </c>
      <c r="AB62" s="28">
        <f>AB57-AB60</f>
        <v/>
      </c>
      <c r="AC62" s="28">
        <f>AC57-AC60</f>
        <v/>
      </c>
      <c r="AD62" s="28">
        <f>AD57-AD60</f>
        <v/>
      </c>
      <c r="AE62" s="28">
        <f>AE57-AE60</f>
        <v/>
      </c>
      <c r="AF62" s="28">
        <f>AF57-AF60</f>
        <v/>
      </c>
      <c r="AG62" s="28">
        <f>AG57-AG60</f>
        <v/>
      </c>
      <c r="AH62" s="28">
        <f>AH57-AH60</f>
        <v/>
      </c>
      <c r="AI62" s="28">
        <f>AI57-AI60</f>
        <v/>
      </c>
      <c r="AJ62" s="28">
        <f>AJ57-AJ60</f>
        <v/>
      </c>
      <c r="AK62" s="28">
        <f>AK57-AK60</f>
        <v/>
      </c>
      <c r="AL62" s="28">
        <f>AL57-AL60</f>
        <v/>
      </c>
      <c r="AM62" s="28">
        <f>AM57-AM60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K39"/>
  <sheetViews>
    <sheetView workbookViewId="0">
      <selection activeCell="C3" sqref="C3"/>
    </sheetView>
  </sheetViews>
  <sheetFormatPr baseColWidth="10" defaultColWidth="9" defaultRowHeight="14"/>
  <cols>
    <col width="14.83203125" customWidth="1" min="1" max="1"/>
    <col width="16" customWidth="1" min="2" max="9"/>
    <col width="18.5" customWidth="1" min="10" max="10"/>
    <col width="28.6640625" customWidth="1" min="11" max="11"/>
  </cols>
  <sheetData>
    <row r="1" ht="20.5" customHeight="1">
      <c r="A1" s="38" t="inlineStr">
        <is>
          <t>三情景碳强度对比与关键指标汇总</t>
        </is>
      </c>
      <c r="B1" s="35" t="n"/>
      <c r="C1" s="35" t="n"/>
      <c r="D1" s="35" t="n"/>
      <c r="E1" s="35" t="n"/>
      <c r="F1" s="35" t="n"/>
      <c r="G1" s="35" t="n"/>
      <c r="H1" s="35" t="n"/>
      <c r="I1" s="36" t="n"/>
    </row>
    <row r="2" ht="66" customHeight="1">
      <c r="A2" s="10" t="inlineStr">
        <is>
          <t>年份</t>
        </is>
      </c>
      <c r="B2" s="10" t="inlineStr">
        <is>
          <t>保守情景吨钢碳强度</t>
        </is>
      </c>
      <c r="C2" s="10" t="inlineStr">
        <is>
          <t>保守累计降幅</t>
        </is>
      </c>
      <c r="D2" s="10" t="inlineStr">
        <is>
          <t>适度情景吨钢碳强度</t>
        </is>
      </c>
      <c r="E2" s="10" t="inlineStr">
        <is>
          <t>适度累计降幅</t>
        </is>
      </c>
      <c r="F2" s="10" t="inlineStr">
        <is>
          <t>积极情景吨钢碳强度</t>
        </is>
      </c>
      <c r="G2" s="10" t="inlineStr">
        <is>
          <t>积极累计降幅</t>
        </is>
      </c>
      <c r="H2" s="10" t="inlineStr">
        <is>
          <t>适度vs保守(百分点)</t>
        </is>
      </c>
      <c r="I2" s="10" t="inlineStr">
        <is>
          <t>积极vs适度(百分点)</t>
        </is>
      </c>
      <c r="J2" s="10" t="inlineStr">
        <is>
          <t>适度情景CO2排放(万吨)</t>
        </is>
      </c>
      <c r="K2" s="10" t="inlineStr">
        <is>
          <t>积极情景CO2排放(万吨)</t>
        </is>
      </c>
    </row>
    <row r="3" ht="20.5" customHeight="1">
      <c r="A3" s="11" t="n">
        <v>2024</v>
      </c>
      <c r="B3" s="11" t="n">
        <v>1.95</v>
      </c>
      <c r="C3" s="12" t="n">
        <v>0</v>
      </c>
      <c r="D3" s="11" t="n">
        <v>1.95</v>
      </c>
      <c r="E3" s="12" t="n">
        <v>0</v>
      </c>
      <c r="F3" s="11" t="n">
        <v>1.95</v>
      </c>
      <c r="G3" s="12" t="n">
        <v>0</v>
      </c>
      <c r="H3" s="11" t="n">
        <v>0</v>
      </c>
      <c r="I3" s="11" t="n">
        <v>0</v>
      </c>
      <c r="J3" s="13" t="n">
        <v>195993</v>
      </c>
      <c r="K3" s="13" t="n">
        <v>195993</v>
      </c>
    </row>
    <row r="4" ht="20.5" customHeight="1">
      <c r="A4" s="11" t="n">
        <v>2025</v>
      </c>
      <c r="B4" s="11" t="n">
        <v>1.958</v>
      </c>
      <c r="C4" s="12" t="n">
        <v>-0.004</v>
      </c>
      <c r="D4" s="11" t="n">
        <v>1.954</v>
      </c>
      <c r="E4" s="12" t="n">
        <v>-0.002</v>
      </c>
      <c r="F4" s="11" t="n">
        <v>1.947</v>
      </c>
      <c r="G4" s="12" t="n">
        <v>0.0015</v>
      </c>
      <c r="H4" s="11" t="n">
        <v>0.2</v>
      </c>
      <c r="I4" s="11" t="n">
        <v>0.35</v>
      </c>
      <c r="J4" s="13" t="n">
        <v>187742</v>
      </c>
      <c r="K4" s="13" t="n">
        <v>187070</v>
      </c>
    </row>
    <row r="5" ht="20.5" customHeight="1">
      <c r="A5" s="11" t="n">
        <v>2026</v>
      </c>
      <c r="B5" s="11" t="n">
        <v>1.941</v>
      </c>
      <c r="C5" s="12" t="n">
        <v>0.0046</v>
      </c>
      <c r="D5" s="11" t="n">
        <v>1.923</v>
      </c>
      <c r="E5" s="12" t="n">
        <v>0.0138</v>
      </c>
      <c r="F5" s="11" t="n">
        <v>1.905</v>
      </c>
      <c r="G5" s="12" t="n">
        <v>0.0231</v>
      </c>
      <c r="H5" s="11" t="n">
        <v>0.92</v>
      </c>
      <c r="I5" s="11" t="n">
        <v>0.93</v>
      </c>
      <c r="J5" s="13" t="n">
        <v>180762</v>
      </c>
      <c r="K5" s="13" t="n">
        <v>179070</v>
      </c>
    </row>
    <row r="6" ht="20.5" customHeight="1">
      <c r="A6" s="11" t="n">
        <v>2027</v>
      </c>
      <c r="B6" s="11" t="n">
        <v>1.924</v>
      </c>
      <c r="C6" s="12" t="n">
        <v>0.0133</v>
      </c>
      <c r="D6" s="11" t="n">
        <v>1.891</v>
      </c>
      <c r="E6" s="12" t="n">
        <v>0.0303</v>
      </c>
      <c r="F6" s="11" t="n">
        <v>1.853</v>
      </c>
      <c r="G6" s="12" t="n">
        <v>0.0497</v>
      </c>
      <c r="H6" s="11" t="n">
        <v>1.7</v>
      </c>
      <c r="I6" s="11" t="n">
        <v>1.94</v>
      </c>
      <c r="J6" s="13" t="n">
        <v>174918</v>
      </c>
      <c r="K6" s="13" t="n">
        <v>171403</v>
      </c>
    </row>
    <row r="7" ht="20.5" customHeight="1">
      <c r="A7" s="11" t="n">
        <v>2028</v>
      </c>
      <c r="B7" s="11" t="n">
        <v>1.907</v>
      </c>
      <c r="C7" s="12" t="n">
        <v>0.0221</v>
      </c>
      <c r="D7" s="11" t="n">
        <v>1.86</v>
      </c>
      <c r="E7" s="12" t="n">
        <v>0.0462</v>
      </c>
      <c r="F7" s="11" t="n">
        <v>1.812</v>
      </c>
      <c r="G7" s="12" t="n">
        <v>0.0708</v>
      </c>
      <c r="H7" s="11" t="n">
        <v>2.41</v>
      </c>
      <c r="I7" s="11" t="n">
        <v>2.46</v>
      </c>
      <c r="J7" s="13" t="n">
        <v>169260</v>
      </c>
      <c r="K7" s="13" t="n">
        <v>164892</v>
      </c>
    </row>
    <row r="8" ht="20.5" customHeight="1">
      <c r="A8" s="11" t="n">
        <v>2029</v>
      </c>
      <c r="B8" s="11" t="n">
        <v>1.891</v>
      </c>
      <c r="C8" s="12" t="n">
        <v>0.0303</v>
      </c>
      <c r="D8" s="11" t="n">
        <v>1.829</v>
      </c>
      <c r="E8" s="12" t="n">
        <v>0.0621</v>
      </c>
      <c r="F8" s="11" t="n">
        <v>1.78</v>
      </c>
      <c r="G8" s="12" t="n">
        <v>0.09719999999999999</v>
      </c>
      <c r="H8" s="11" t="n">
        <v>3.18</v>
      </c>
      <c r="I8" s="11" t="n">
        <v>2.51</v>
      </c>
      <c r="J8" s="13" t="n">
        <v>160952</v>
      </c>
      <c r="K8" s="13" t="n">
        <v>156640</v>
      </c>
    </row>
    <row r="9" ht="20.5" customHeight="1">
      <c r="A9" s="11" t="n">
        <v>2030</v>
      </c>
      <c r="B9" s="11" t="n">
        <v>1.874</v>
      </c>
      <c r="C9" s="12" t="n">
        <v>0.039</v>
      </c>
      <c r="D9" s="11" t="n">
        <v>1.798</v>
      </c>
      <c r="E9" s="12" t="n">
        <v>0.0779</v>
      </c>
      <c r="F9" s="11" t="n">
        <v>1.744</v>
      </c>
      <c r="G9" s="12" t="n">
        <v>0.1206</v>
      </c>
      <c r="H9" s="11" t="n">
        <v>3.89</v>
      </c>
      <c r="I9" s="11" t="n">
        <v>2.77</v>
      </c>
      <c r="J9" s="13" t="n">
        <v>152830</v>
      </c>
      <c r="K9" s="13" t="n">
        <v>148240</v>
      </c>
    </row>
    <row r="10" ht="20.5" customHeight="1">
      <c r="A10" s="11" t="n">
        <v>2031</v>
      </c>
      <c r="B10" s="11" t="n">
        <v>1.849</v>
      </c>
      <c r="C10" s="12" t="n">
        <v>0.0518</v>
      </c>
      <c r="D10" s="11" t="n">
        <v>1.76</v>
      </c>
      <c r="E10" s="12" t="n">
        <v>0.0974</v>
      </c>
      <c r="F10" s="11" t="n">
        <v>1.669</v>
      </c>
      <c r="G10" s="12" t="n">
        <v>0.1441</v>
      </c>
      <c r="H10" s="11" t="n">
        <v>4.56</v>
      </c>
      <c r="I10" s="11" t="n">
        <v>4.67</v>
      </c>
      <c r="J10" s="13" t="n">
        <v>148252</v>
      </c>
      <c r="K10" s="13" t="n">
        <v>140582</v>
      </c>
    </row>
    <row r="11" ht="20.5" customHeight="1">
      <c r="A11" s="11" t="n">
        <v>2032</v>
      </c>
      <c r="B11" s="11" t="n">
        <v>1.825</v>
      </c>
      <c r="C11" s="12" t="n">
        <v>0.0641</v>
      </c>
      <c r="D11" s="11" t="n">
        <v>1.722</v>
      </c>
      <c r="E11" s="12" t="n">
        <v>0.1169</v>
      </c>
      <c r="F11" s="11" t="n">
        <v>1.594</v>
      </c>
      <c r="G11" s="12" t="n">
        <v>0.1726</v>
      </c>
      <c r="H11" s="11" t="n">
        <v>5.28</v>
      </c>
      <c r="I11" s="11" t="n">
        <v>6.57</v>
      </c>
      <c r="J11" s="13" t="n">
        <v>143878</v>
      </c>
      <c r="K11" s="13" t="n">
        <v>133185</v>
      </c>
    </row>
    <row r="12" ht="20.5" customHeight="1">
      <c r="A12" s="11" t="n">
        <v>2033</v>
      </c>
      <c r="B12" s="11" t="n">
        <v>1.8</v>
      </c>
      <c r="C12" s="12" t="n">
        <v>0.0769</v>
      </c>
      <c r="D12" s="11" t="n">
        <v>1.684</v>
      </c>
      <c r="E12" s="12" t="n">
        <v>0.1364</v>
      </c>
      <c r="F12" s="11" t="n">
        <v>1.52</v>
      </c>
      <c r="G12" s="12" t="n">
        <v>0.2005</v>
      </c>
      <c r="H12" s="11" t="n">
        <v>5.95</v>
      </c>
      <c r="I12" s="11" t="n">
        <v>8.41</v>
      </c>
      <c r="J12" s="13" t="n">
        <v>139521</v>
      </c>
      <c r="K12" s="13" t="n">
        <v>125910</v>
      </c>
    </row>
    <row r="13" ht="20.5" customHeight="1">
      <c r="A13" s="11" t="n">
        <v>2034</v>
      </c>
      <c r="B13" s="11" t="n">
        <v>1.776</v>
      </c>
      <c r="C13" s="12" t="n">
        <v>0.0892</v>
      </c>
      <c r="D13" s="11" t="n">
        <v>1.646</v>
      </c>
      <c r="E13" s="12" t="n">
        <v>0.1559</v>
      </c>
      <c r="F13" s="11" t="n">
        <v>1.445</v>
      </c>
      <c r="G13" s="12" t="n">
        <v>0.229</v>
      </c>
      <c r="H13" s="11" t="n">
        <v>6.67</v>
      </c>
      <c r="I13" s="11" t="n">
        <v>10.31</v>
      </c>
      <c r="J13" s="13" t="n">
        <v>135221</v>
      </c>
      <c r="K13" s="13" t="n">
        <v>118720</v>
      </c>
    </row>
    <row r="14" ht="20.5" customHeight="1">
      <c r="A14" s="11" t="n">
        <v>2035</v>
      </c>
      <c r="B14" s="11" t="n">
        <v>1.751</v>
      </c>
      <c r="C14" s="12" t="n">
        <v>0.102</v>
      </c>
      <c r="D14" s="11" t="n">
        <v>1.607</v>
      </c>
      <c r="E14" s="12" t="n">
        <v>0.1759</v>
      </c>
      <c r="F14" s="11" t="n">
        <v>1.37</v>
      </c>
      <c r="G14" s="12" t="n">
        <v>0.2574</v>
      </c>
      <c r="H14" s="11" t="n">
        <v>7.39</v>
      </c>
      <c r="I14" s="11" t="n">
        <v>12.15</v>
      </c>
      <c r="J14" s="13" t="n">
        <v>134988</v>
      </c>
      <c r="K14" s="13" t="n">
        <v>115080</v>
      </c>
    </row>
    <row r="15" ht="20.5" customHeight="1">
      <c r="A15" s="11" t="n">
        <v>2036</v>
      </c>
      <c r="B15" s="11" t="n">
        <v>1.691</v>
      </c>
      <c r="C15" s="12" t="n">
        <v>0.1328</v>
      </c>
      <c r="D15" s="11" t="n">
        <v>1.516</v>
      </c>
      <c r="E15" s="12" t="n">
        <v>0.2226</v>
      </c>
      <c r="F15" s="11" t="n">
        <v>1.266</v>
      </c>
      <c r="G15" s="12" t="n">
        <v>0.3008</v>
      </c>
      <c r="H15" s="11" t="n">
        <v>8.98</v>
      </c>
      <c r="I15" s="11" t="n">
        <v>12.82</v>
      </c>
      <c r="J15" s="13" t="n">
        <v>124312</v>
      </c>
      <c r="K15" s="13" t="n">
        <v>103812</v>
      </c>
    </row>
    <row r="16" ht="20.5" customHeight="1">
      <c r="A16" s="11" t="n">
        <v>2037</v>
      </c>
      <c r="B16" s="11" t="n">
        <v>1.631</v>
      </c>
      <c r="C16" s="12" t="n">
        <v>0.1636</v>
      </c>
      <c r="D16" s="11" t="n">
        <v>1.424</v>
      </c>
      <c r="E16" s="12" t="n">
        <v>0.27</v>
      </c>
      <c r="F16" s="11" t="n">
        <v>1.162</v>
      </c>
      <c r="G16" s="12" t="n">
        <v>0.3541</v>
      </c>
      <c r="H16" s="11" t="n">
        <v>10.64</v>
      </c>
      <c r="I16" s="11" t="n">
        <v>13.41</v>
      </c>
      <c r="J16" s="13" t="n">
        <v>114347</v>
      </c>
      <c r="K16" s="13" t="n">
        <v>93308</v>
      </c>
    </row>
    <row r="17" ht="20.5" customHeight="1">
      <c r="A17" s="11" t="n">
        <v>2038</v>
      </c>
      <c r="B17" s="11" t="n">
        <v>1.571</v>
      </c>
      <c r="C17" s="12" t="n">
        <v>0.1944</v>
      </c>
      <c r="D17" s="11" t="n">
        <v>1.333</v>
      </c>
      <c r="E17" s="12" t="n">
        <v>0.3164</v>
      </c>
      <c r="F17" s="11" t="n">
        <v>1.058</v>
      </c>
      <c r="G17" s="12" t="n">
        <v>0.4074</v>
      </c>
      <c r="H17" s="11" t="n">
        <v>12.2</v>
      </c>
      <c r="I17" s="11" t="n">
        <v>14.1</v>
      </c>
      <c r="J17" s="13" t="n">
        <v>104774</v>
      </c>
      <c r="K17" s="13" t="n">
        <v>83159</v>
      </c>
    </row>
    <row r="18" ht="20.5" customHeight="1">
      <c r="A18" s="11" t="n">
        <v>2039</v>
      </c>
      <c r="B18" s="11" t="n">
        <v>1.51</v>
      </c>
      <c r="C18" s="12" t="n">
        <v>0.2256</v>
      </c>
      <c r="D18" s="11" t="n">
        <v>1.241</v>
      </c>
      <c r="E18" s="12" t="n">
        <v>0.3636</v>
      </c>
      <c r="F18" s="11" t="n">
        <v>0.954</v>
      </c>
      <c r="G18" s="12" t="n">
        <v>0.5108</v>
      </c>
      <c r="H18" s="11" t="n">
        <v>13.8</v>
      </c>
      <c r="I18" s="11" t="n">
        <v>14.72</v>
      </c>
      <c r="J18" s="13" t="n">
        <v>95557</v>
      </c>
      <c r="K18" s="13" t="n">
        <v>73458</v>
      </c>
    </row>
    <row r="19" ht="20.5" customHeight="1">
      <c r="A19" s="11" t="n">
        <v>2040</v>
      </c>
      <c r="B19" s="11" t="n">
        <v>1.45</v>
      </c>
      <c r="C19" s="12" t="n">
        <v>0.2564</v>
      </c>
      <c r="D19" s="11" t="n">
        <v>1.15</v>
      </c>
      <c r="E19" s="12" t="n">
        <v>0.4103</v>
      </c>
      <c r="F19" s="11" t="n">
        <v>0.85</v>
      </c>
      <c r="G19" s="12" t="n">
        <v>0.5641</v>
      </c>
      <c r="H19" s="11" t="n">
        <v>15.39</v>
      </c>
      <c r="I19" s="11" t="n">
        <v>15.38</v>
      </c>
      <c r="J19" s="13" t="n">
        <v>83406</v>
      </c>
      <c r="K19" s="13" t="n">
        <v>61648</v>
      </c>
    </row>
    <row r="20" ht="20.5" customHeight="1">
      <c r="A20" s="11" t="n">
        <v>2041</v>
      </c>
      <c r="B20" s="11" t="n">
        <v>1.38</v>
      </c>
      <c r="C20" s="12" t="n">
        <v>0.2923</v>
      </c>
      <c r="D20" s="11" t="n">
        <v>1.075</v>
      </c>
      <c r="E20" s="12" t="n">
        <v>0.4487</v>
      </c>
      <c r="F20" s="11" t="n">
        <v>0.782</v>
      </c>
      <c r="G20" s="12" t="n">
        <v>0.599</v>
      </c>
      <c r="H20" s="11" t="n">
        <v>15.64</v>
      </c>
      <c r="I20" s="11" t="n">
        <v>15.03</v>
      </c>
      <c r="J20" s="13" t="n">
        <v>76824</v>
      </c>
      <c r="K20" s="13" t="n">
        <v>55885</v>
      </c>
    </row>
    <row r="21" ht="20.5" customHeight="1">
      <c r="A21" s="11" t="n">
        <v>2042</v>
      </c>
      <c r="B21" s="11" t="n">
        <v>1.31</v>
      </c>
      <c r="C21" s="12" t="n">
        <v>0.3282</v>
      </c>
      <c r="D21" s="11" t="n">
        <v>1</v>
      </c>
      <c r="E21" s="12" t="n">
        <v>0.4872</v>
      </c>
      <c r="F21" s="11" t="n">
        <v>0.714</v>
      </c>
      <c r="G21" s="12" t="n">
        <v>0.6338</v>
      </c>
      <c r="H21" s="11" t="n">
        <v>15.9</v>
      </c>
      <c r="I21" s="11" t="n">
        <v>14.66</v>
      </c>
      <c r="J21" s="13" t="n">
        <v>70402</v>
      </c>
      <c r="K21" s="13" t="n">
        <v>50266</v>
      </c>
    </row>
    <row r="22" ht="20.5" customHeight="1">
      <c r="A22" s="11" t="n">
        <v>2043</v>
      </c>
      <c r="B22" s="11" t="n">
        <v>1.24</v>
      </c>
      <c r="C22" s="12" t="n">
        <v>0.3641</v>
      </c>
      <c r="D22" s="11" t="n">
        <v>0.925</v>
      </c>
      <c r="E22" s="12" t="n">
        <v>0.5256</v>
      </c>
      <c r="F22" s="11" t="n">
        <v>0.646</v>
      </c>
      <c r="G22" s="12" t="n">
        <v>0.6687</v>
      </c>
      <c r="H22" s="11" t="n">
        <v>16.15</v>
      </c>
      <c r="I22" s="11" t="n">
        <v>14.31</v>
      </c>
      <c r="J22" s="13" t="n">
        <v>64139</v>
      </c>
      <c r="K22" s="13" t="n">
        <v>44794</v>
      </c>
    </row>
    <row r="23" ht="20.5" customHeight="1">
      <c r="A23" s="11" t="n">
        <v>2044</v>
      </c>
      <c r="B23" s="11" t="n">
        <v>1.17</v>
      </c>
      <c r="C23" s="12" t="n">
        <v>0.4</v>
      </c>
      <c r="D23" s="11" t="n">
        <v>0.85</v>
      </c>
      <c r="E23" s="12" t="n">
        <v>0.5641</v>
      </c>
      <c r="F23" s="11" t="n">
        <v>0.578</v>
      </c>
      <c r="G23" s="12" t="n">
        <v>0.7036</v>
      </c>
      <c r="H23" s="11" t="n">
        <v>16.41</v>
      </c>
      <c r="I23" s="11" t="n">
        <v>13.95</v>
      </c>
      <c r="J23" s="13" t="n">
        <v>58035</v>
      </c>
      <c r="K23" s="13" t="n">
        <v>39463</v>
      </c>
    </row>
    <row r="24" ht="20.5" customHeight="1">
      <c r="A24" s="11" t="n">
        <v>2045</v>
      </c>
      <c r="B24" s="11" t="n">
        <v>1.1</v>
      </c>
      <c r="C24" s="12" t="n">
        <v>0.4359</v>
      </c>
      <c r="D24" s="11" t="n">
        <v>0.775</v>
      </c>
      <c r="E24" s="12" t="n">
        <v>0.6026</v>
      </c>
      <c r="F24" s="11" t="n">
        <v>0.51</v>
      </c>
      <c r="G24" s="12" t="n">
        <v>0.7385</v>
      </c>
      <c r="H24" s="11" t="n">
        <v>16.67</v>
      </c>
      <c r="I24" s="11" t="n">
        <v>13.59</v>
      </c>
      <c r="J24" s="13" t="n">
        <v>52066</v>
      </c>
      <c r="K24" s="13" t="n">
        <v>34263</v>
      </c>
    </row>
    <row r="25" ht="20.5" customHeight="1">
      <c r="A25" s="11" t="n">
        <v>2046</v>
      </c>
      <c r="B25" s="11" t="n">
        <v>1.03</v>
      </c>
      <c r="C25" s="12" t="n">
        <v>0.4718</v>
      </c>
      <c r="D25" s="11" t="n">
        <v>0.7</v>
      </c>
      <c r="E25" s="12" t="n">
        <v>0.641</v>
      </c>
      <c r="F25" s="11" t="n">
        <v>0.442</v>
      </c>
      <c r="G25" s="12" t="n">
        <v>0.7733</v>
      </c>
      <c r="H25" s="11" t="n">
        <v>16.92</v>
      </c>
      <c r="I25" s="11" t="n">
        <v>13.23</v>
      </c>
      <c r="J25" s="13" t="n">
        <v>46236</v>
      </c>
      <c r="K25" s="13" t="n">
        <v>29195</v>
      </c>
    </row>
    <row r="26" ht="20.5" customHeight="1">
      <c r="A26" s="11" t="n">
        <v>2047</v>
      </c>
      <c r="B26" s="11" t="n">
        <v>0.96</v>
      </c>
      <c r="C26" s="12" t="n">
        <v>0.5077</v>
      </c>
      <c r="D26" s="11" t="n">
        <v>0.625</v>
      </c>
      <c r="E26" s="12" t="n">
        <v>0.6795</v>
      </c>
      <c r="F26" s="11" t="n">
        <v>0.374</v>
      </c>
      <c r="G26" s="12" t="n">
        <v>0.8082</v>
      </c>
      <c r="H26" s="11" t="n">
        <v>17.18</v>
      </c>
      <c r="I26" s="11" t="n">
        <v>12.87</v>
      </c>
      <c r="J26" s="13" t="n">
        <v>40680</v>
      </c>
      <c r="K26" s="13" t="n">
        <v>24343</v>
      </c>
    </row>
    <row r="27" ht="20.5" customHeight="1">
      <c r="A27" s="11" t="n">
        <v>2048</v>
      </c>
      <c r="B27" s="11" t="n">
        <v>0.89</v>
      </c>
      <c r="C27" s="12" t="n">
        <v>0.5436</v>
      </c>
      <c r="D27" s="11" t="n">
        <v>0.55</v>
      </c>
      <c r="E27" s="12" t="n">
        <v>0.7179</v>
      </c>
      <c r="F27" s="11" t="n">
        <v>0.306</v>
      </c>
      <c r="G27" s="12" t="n">
        <v>0.8431</v>
      </c>
      <c r="H27" s="11" t="n">
        <v>17.43</v>
      </c>
      <c r="I27" s="11" t="n">
        <v>12.52</v>
      </c>
      <c r="J27" s="13" t="n">
        <v>35214</v>
      </c>
      <c r="K27" s="13" t="n">
        <v>19573</v>
      </c>
    </row>
    <row r="28" ht="20.5" customHeight="1">
      <c r="A28" s="11" t="n">
        <v>2049</v>
      </c>
      <c r="B28" s="11" t="n">
        <v>0.82</v>
      </c>
      <c r="C28" s="12" t="n">
        <v>0.5795</v>
      </c>
      <c r="D28" s="11" t="n">
        <v>0.475</v>
      </c>
      <c r="E28" s="12" t="n">
        <v>0.7564</v>
      </c>
      <c r="F28" s="11" t="n">
        <v>0.238</v>
      </c>
      <c r="G28" s="12" t="n">
        <v>0.8779</v>
      </c>
      <c r="H28" s="11" t="n">
        <v>17.69</v>
      </c>
      <c r="I28" s="11" t="n">
        <v>12.15</v>
      </c>
      <c r="J28" s="13" t="n">
        <v>29907</v>
      </c>
      <c r="K28" s="13" t="n">
        <v>14992</v>
      </c>
    </row>
    <row r="29" ht="20.5" customHeight="1">
      <c r="A29" s="11" t="n">
        <v>2050</v>
      </c>
      <c r="B29" s="11" t="n">
        <v>0.75</v>
      </c>
      <c r="C29" s="12" t="n">
        <v>0.6153999999999999</v>
      </c>
      <c r="D29" s="11" t="n">
        <v>0.4</v>
      </c>
      <c r="E29" s="12" t="n">
        <v>0.7949000000000001</v>
      </c>
      <c r="F29" s="11" t="n">
        <v>0.17</v>
      </c>
      <c r="G29" s="12" t="n">
        <v>0.9127999999999999</v>
      </c>
      <c r="H29" s="11" t="n">
        <v>17.95</v>
      </c>
      <c r="I29" s="11" t="n">
        <v>11.79</v>
      </c>
      <c r="J29" s="13" t="n">
        <v>24760</v>
      </c>
      <c r="K29" s="13" t="n">
        <v>10523</v>
      </c>
    </row>
    <row r="30" ht="20.5" customHeight="1">
      <c r="A30" s="11" t="n">
        <v>2051</v>
      </c>
      <c r="B30" s="11" t="n">
        <v>0.6870000000000001</v>
      </c>
      <c r="C30" s="12" t="n">
        <v>0.6477000000000001</v>
      </c>
      <c r="D30" s="11" t="n">
        <v>0.365</v>
      </c>
      <c r="E30" s="12" t="n">
        <v>0.8128</v>
      </c>
      <c r="F30" s="11" t="n">
        <v>0.154</v>
      </c>
      <c r="G30" s="12" t="n">
        <v>0.921</v>
      </c>
      <c r="H30" s="11" t="n">
        <v>16.51</v>
      </c>
      <c r="I30" s="11" t="n">
        <v>10.82</v>
      </c>
      <c r="J30" s="13" t="n">
        <v>22231</v>
      </c>
      <c r="K30" s="13" t="n">
        <v>9380</v>
      </c>
    </row>
    <row r="31" ht="20.5" customHeight="1">
      <c r="A31" s="11" t="n">
        <v>2052</v>
      </c>
      <c r="B31" s="11" t="n">
        <v>0.624</v>
      </c>
      <c r="C31" s="12" t="n">
        <v>0.68</v>
      </c>
      <c r="D31" s="11" t="n">
        <v>0.33</v>
      </c>
      <c r="E31" s="12" t="n">
        <v>0.8308</v>
      </c>
      <c r="F31" s="11" t="n">
        <v>0.138</v>
      </c>
      <c r="G31" s="12" t="n">
        <v>0.9292</v>
      </c>
      <c r="H31" s="11" t="n">
        <v>15.08</v>
      </c>
      <c r="I31" s="11" t="n">
        <v>9.84</v>
      </c>
      <c r="J31" s="13" t="n">
        <v>19777</v>
      </c>
      <c r="K31" s="13" t="n">
        <v>8270</v>
      </c>
    </row>
    <row r="32" ht="20.5" customHeight="1">
      <c r="A32" s="11" t="n">
        <v>2053</v>
      </c>
      <c r="B32" s="11" t="n">
        <v>0.5610000000000001</v>
      </c>
      <c r="C32" s="12" t="n">
        <v>0.7123</v>
      </c>
      <c r="D32" s="11" t="n">
        <v>0.295</v>
      </c>
      <c r="E32" s="12" t="n">
        <v>0.8487</v>
      </c>
      <c r="F32" s="11" t="n">
        <v>0.122</v>
      </c>
      <c r="G32" s="12" t="n">
        <v>0.9374</v>
      </c>
      <c r="H32" s="11" t="n">
        <v>13.64</v>
      </c>
      <c r="I32" s="11" t="n">
        <v>8.869999999999999</v>
      </c>
      <c r="J32" s="13" t="n">
        <v>17396</v>
      </c>
      <c r="K32" s="13" t="n">
        <v>7194</v>
      </c>
    </row>
    <row r="33" ht="20.5" customHeight="1">
      <c r="A33" s="11" t="n">
        <v>2054</v>
      </c>
      <c r="B33" s="11" t="n">
        <v>0.498</v>
      </c>
      <c r="C33" s="12" t="n">
        <v>0.7446</v>
      </c>
      <c r="D33" s="11" t="n">
        <v>0.26</v>
      </c>
      <c r="E33" s="12" t="n">
        <v>0.8667</v>
      </c>
      <c r="F33" s="11" t="n">
        <v>0.106</v>
      </c>
      <c r="G33" s="12" t="n">
        <v>0.9456</v>
      </c>
      <c r="H33" s="11" t="n">
        <v>12.21</v>
      </c>
      <c r="I33" s="11" t="n">
        <v>7.89</v>
      </c>
      <c r="J33" s="13" t="n">
        <v>15087</v>
      </c>
      <c r="K33" s="13" t="n">
        <v>6151</v>
      </c>
    </row>
    <row r="34" ht="20.5" customHeight="1">
      <c r="A34" s="11" t="n">
        <v>2055</v>
      </c>
      <c r="B34" s="11" t="n">
        <v>0.435</v>
      </c>
      <c r="C34" s="12" t="n">
        <v>0.7769</v>
      </c>
      <c r="D34" s="11" t="n">
        <v>0.225</v>
      </c>
      <c r="E34" s="12" t="n">
        <v>0.8846000000000001</v>
      </c>
      <c r="F34" s="11" t="n">
        <v>0.09</v>
      </c>
      <c r="G34" s="12" t="n">
        <v>0.9538</v>
      </c>
      <c r="H34" s="11" t="n">
        <v>10.77</v>
      </c>
      <c r="I34" s="11" t="n">
        <v>6.92</v>
      </c>
      <c r="J34" s="13" t="n">
        <v>12848</v>
      </c>
      <c r="K34" s="13" t="n">
        <v>5139</v>
      </c>
    </row>
    <row r="35" ht="20.5" customHeight="1">
      <c r="A35" s="11" t="n">
        <v>2056</v>
      </c>
      <c r="B35" s="11" t="n">
        <v>0.372</v>
      </c>
      <c r="C35" s="12" t="n">
        <v>0.8092</v>
      </c>
      <c r="D35" s="11" t="n">
        <v>0.19</v>
      </c>
      <c r="E35" s="12" t="n">
        <v>0.9026</v>
      </c>
      <c r="F35" s="11" t="n">
        <v>0.074</v>
      </c>
      <c r="G35" s="12" t="n">
        <v>0.9621</v>
      </c>
      <c r="H35" s="11" t="n">
        <v>9.34</v>
      </c>
      <c r="I35" s="11" t="n">
        <v>5.95</v>
      </c>
      <c r="J35" s="13" t="n">
        <v>10677</v>
      </c>
      <c r="K35" s="13" t="n">
        <v>4159</v>
      </c>
    </row>
    <row r="36" ht="20.5" customHeight="1">
      <c r="A36" s="11" t="n">
        <v>2057</v>
      </c>
      <c r="B36" s="11" t="n">
        <v>0.309</v>
      </c>
      <c r="C36" s="12" t="n">
        <v>0.8415</v>
      </c>
      <c r="D36" s="11" t="n">
        <v>0.155</v>
      </c>
      <c r="E36" s="12" t="n">
        <v>0.9205</v>
      </c>
      <c r="F36" s="11" t="n">
        <v>0.058</v>
      </c>
      <c r="G36" s="12" t="n">
        <v>0.9703000000000001</v>
      </c>
      <c r="H36" s="11" t="n">
        <v>7.9</v>
      </c>
      <c r="I36" s="11" t="n">
        <v>4.98</v>
      </c>
      <c r="J36" s="13" t="n">
        <v>8573</v>
      </c>
      <c r="K36" s="13" t="n">
        <v>3208</v>
      </c>
    </row>
    <row r="37" ht="20.5" customHeight="1">
      <c r="A37" s="11" t="n">
        <v>2058</v>
      </c>
      <c r="B37" s="11" t="n">
        <v>0.246</v>
      </c>
      <c r="C37" s="12" t="n">
        <v>0.8738</v>
      </c>
      <c r="D37" s="11" t="n">
        <v>0.12</v>
      </c>
      <c r="E37" s="12" t="n">
        <v>0.9385</v>
      </c>
      <c r="F37" s="11" t="n">
        <v>0.042</v>
      </c>
      <c r="G37" s="12" t="n">
        <v>0.9785</v>
      </c>
      <c r="H37" s="11" t="n">
        <v>6.47</v>
      </c>
      <c r="I37" s="11" t="n">
        <v>4</v>
      </c>
      <c r="J37" s="13" t="n">
        <v>6532</v>
      </c>
      <c r="K37" s="13" t="n">
        <v>2286</v>
      </c>
    </row>
    <row r="38" ht="20.5" customHeight="1">
      <c r="A38" s="11" t="n">
        <v>2059</v>
      </c>
      <c r="B38" s="11" t="n">
        <v>0.183</v>
      </c>
      <c r="C38" s="12" t="n">
        <v>0.9062</v>
      </c>
      <c r="D38" s="11" t="n">
        <v>0.08500000000000001</v>
      </c>
      <c r="E38" s="12" t="n">
        <v>0.9564</v>
      </c>
      <c r="F38" s="11" t="n">
        <v>0.026</v>
      </c>
      <c r="G38" s="12" t="n">
        <v>0.9867</v>
      </c>
      <c r="H38" s="11" t="n">
        <v>5.02</v>
      </c>
      <c r="I38" s="11" t="n">
        <v>3.03</v>
      </c>
      <c r="J38" s="13" t="n">
        <v>4554</v>
      </c>
      <c r="K38" s="13" t="n">
        <v>1393</v>
      </c>
    </row>
    <row r="39" ht="20.5" customHeight="1">
      <c r="A39" s="11" t="n">
        <v>2060</v>
      </c>
      <c r="B39" s="11" t="n">
        <v>0.12</v>
      </c>
      <c r="C39" s="12" t="n">
        <v>0.9385</v>
      </c>
      <c r="D39" s="11" t="n">
        <v>0.05</v>
      </c>
      <c r="E39" s="12" t="n">
        <v>0.9744</v>
      </c>
      <c r="F39" s="11" t="n">
        <v>0.01</v>
      </c>
      <c r="G39" s="12" t="n">
        <v>0.9949</v>
      </c>
      <c r="H39" s="11" t="n">
        <v>3.59</v>
      </c>
      <c r="I39" s="11" t="n">
        <v>2.05</v>
      </c>
      <c r="J39" s="13" t="n">
        <v>2636</v>
      </c>
      <c r="K39" s="11" t="n">
        <v>527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BF8F00"/>
    <outlinePr summaryBelow="1" summaryRight="1"/>
    <pageSetUpPr/>
  </sheetPr>
  <dimension ref="A1:H86"/>
  <sheetViews>
    <sheetView workbookViewId="0">
      <selection activeCell="A1" sqref="A1:H1"/>
    </sheetView>
  </sheetViews>
  <sheetFormatPr baseColWidth="10" defaultColWidth="9" defaultRowHeight="14"/>
  <cols>
    <col width="18" customWidth="1" min="1" max="8"/>
  </cols>
  <sheetData>
    <row r="1" ht="20.5" customHeight="1">
      <c r="A1" s="38" t="inlineStr">
        <is>
          <t>金融机构钢铁行业投融资组合减碳目标对标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9" t="inlineStr">
        <is>
          <t>基于适度情景 | 技术路径降碳潜力与适度情景一致</t>
        </is>
      </c>
      <c r="B2" s="35" t="n"/>
      <c r="C2" s="35" t="n"/>
      <c r="D2" s="35" t="n"/>
      <c r="E2" s="35" t="n"/>
      <c r="F2" s="35" t="n"/>
      <c r="G2" s="35" t="n"/>
      <c r="H2" s="36" t="n"/>
    </row>
    <row r="4" ht="17.5" customHeight="1">
      <c r="A4" s="34" t="inlineStr">
        <is>
          <t>银行输入参数</t>
        </is>
      </c>
      <c r="B4" s="35" t="n"/>
      <c r="C4" s="35" t="n"/>
      <c r="D4" s="36" t="n"/>
    </row>
    <row r="5" ht="31" customHeight="1">
      <c r="A5" s="37" t="inlineStr">
        <is>
          <t>钢铁行业贷款总额(亿元)</t>
        </is>
      </c>
      <c r="C5" s="8" t="inlineStr">
        <is>
          <t>请输入</t>
        </is>
      </c>
    </row>
    <row r="6" ht="31" customHeight="1">
      <c r="A6" s="37" t="inlineStr">
        <is>
          <t>加权平均碳强度起点(tCO2/t)</t>
        </is>
      </c>
      <c r="C6" s="8" t="inlineStr">
        <is>
          <t>请输入</t>
        </is>
      </c>
    </row>
    <row r="7" ht="31" customHeight="1">
      <c r="A7" s="37" t="inlineStr">
        <is>
          <t>2030年碳强度目标(tCO2/t)</t>
        </is>
      </c>
      <c r="C7" s="8" t="inlineStr">
        <is>
          <t>请输入</t>
        </is>
      </c>
    </row>
    <row r="8" ht="31" customHeight="1">
      <c r="A8" s="37" t="inlineStr">
        <is>
          <t>2035年碳强度目标(tCO2/t)</t>
        </is>
      </c>
      <c r="C8" s="8" t="inlineStr">
        <is>
          <t>请输入</t>
        </is>
      </c>
    </row>
    <row r="9" ht="31" customHeight="1">
      <c r="A9" s="37" t="inlineStr">
        <is>
          <t>2040年碳强度目标(tCO2/t)</t>
        </is>
      </c>
      <c r="C9" s="8" t="inlineStr">
        <is>
          <t>请输入</t>
        </is>
      </c>
    </row>
    <row r="12" ht="17.5" customHeight="1">
      <c r="A12" s="34" t="inlineStr">
        <is>
          <t>适度情景各减排路径贡献(万吨CO2)</t>
        </is>
      </c>
      <c r="B12" s="35" t="n"/>
      <c r="C12" s="35" t="n"/>
      <c r="D12" s="35" t="n"/>
      <c r="E12" s="35" t="n"/>
      <c r="F12" s="35" t="n"/>
      <c r="G12" s="35" t="n"/>
      <c r="H12" s="36" t="n"/>
    </row>
    <row r="13" ht="17" customHeight="1">
      <c r="A13" s="1" t="inlineStr">
        <is>
          <t>年份</t>
        </is>
      </c>
      <c r="B13" s="1" t="inlineStr">
        <is>
          <t>产量变化</t>
        </is>
      </c>
      <c r="C13" s="1" t="inlineStr">
        <is>
          <t>原料结构</t>
        </is>
      </c>
      <c r="D13" s="1" t="inlineStr">
        <is>
          <t>短流程提升</t>
        </is>
      </c>
      <c r="E13" s="1" t="inlineStr">
        <is>
          <t>氢冶金提升</t>
        </is>
      </c>
      <c r="F13" s="1" t="inlineStr">
        <is>
          <t>绿电</t>
        </is>
      </c>
      <c r="G13" s="1" t="inlineStr">
        <is>
          <t>低碳技术</t>
        </is>
      </c>
      <c r="H13" s="1" t="inlineStr">
        <is>
          <t>CCUS</t>
        </is>
      </c>
    </row>
    <row r="14" ht="16" customHeight="1">
      <c r="A14" s="2" t="n">
        <v>2024</v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</row>
    <row r="16" ht="16" customHeight="1">
      <c r="A16" s="2" t="n">
        <v>2025</v>
      </c>
      <c r="B16" s="9" t="n">
        <v>8634.6</v>
      </c>
      <c r="C16" s="9" t="n">
        <v>-2052.34339090908</v>
      </c>
      <c r="D16" s="9" t="n">
        <v>-613.7208000000001</v>
      </c>
      <c r="E16" s="9" t="n">
        <v>37.4882895163635</v>
      </c>
      <c r="F16" s="9" t="n">
        <v>1173.9552737115</v>
      </c>
      <c r="G16" s="9" t="n">
        <v>5764.86</v>
      </c>
      <c r="H16" s="9" t="n">
        <v>0</v>
      </c>
    </row>
    <row r="18" ht="16" customHeight="1">
      <c r="A18" s="2" t="n">
        <v>2026</v>
      </c>
      <c r="B18" s="9" t="n">
        <v>13170.5700090483</v>
      </c>
      <c r="C18" s="9" t="n">
        <v>-2822.12834184715</v>
      </c>
      <c r="D18" s="9" t="n">
        <v>-546.290877154731</v>
      </c>
      <c r="E18" s="9" t="n">
        <v>152.153805625424</v>
      </c>
      <c r="F18" s="9" t="n">
        <v>1692.00922404842</v>
      </c>
      <c r="G18" s="9" t="n">
        <v>6328.45315353294</v>
      </c>
      <c r="H18" s="9" t="n">
        <v>0</v>
      </c>
    </row>
    <row r="20" ht="16" customHeight="1">
      <c r="A20" s="2" t="n">
        <v>2027</v>
      </c>
      <c r="B20" s="9" t="n">
        <v>17596.723360074</v>
      </c>
      <c r="C20" s="9" t="n">
        <v>-3573.19045606104</v>
      </c>
      <c r="D20" s="9" t="n">
        <v>-489.931365830069</v>
      </c>
      <c r="E20" s="9" t="n">
        <v>284.009404951402</v>
      </c>
      <c r="F20" s="9" t="n">
        <v>2438.76561818642</v>
      </c>
      <c r="G20" s="9" t="n">
        <v>6175.24015292052</v>
      </c>
      <c r="H20" s="9" t="n">
        <v>0</v>
      </c>
    </row>
    <row r="22" ht="16" customHeight="1">
      <c r="A22" s="2" t="n">
        <v>2028</v>
      </c>
      <c r="B22" s="9" t="n">
        <v>21915.7187343194</v>
      </c>
      <c r="C22" s="9" t="n">
        <v>-4304.80595208566</v>
      </c>
      <c r="D22" s="9" t="n">
        <v>-444.145755573623</v>
      </c>
      <c r="E22" s="9" t="n">
        <v>435.632139174976</v>
      </c>
      <c r="F22" s="9" t="n">
        <v>3515.25195524358</v>
      </c>
      <c r="G22" s="9" t="n">
        <v>8614.5713934042</v>
      </c>
      <c r="H22" s="9" t="n">
        <v>0</v>
      </c>
    </row>
    <row r="24" ht="16" customHeight="1">
      <c r="A24" s="2" t="n">
        <v>2029</v>
      </c>
      <c r="B24" s="9" t="n">
        <v>26130.150445871</v>
      </c>
      <c r="C24" s="9" t="n">
        <v>-5016.12029573066</v>
      </c>
      <c r="D24" s="9" t="n">
        <v>-408.455088417152</v>
      </c>
      <c r="E24" s="9" t="n">
        <v>609.9853987327811</v>
      </c>
      <c r="F24" s="9" t="n">
        <v>5067.1681515741</v>
      </c>
      <c r="G24" s="9" t="n">
        <v>10409.5162803684</v>
      </c>
      <c r="H24" s="9" t="n">
        <v>0</v>
      </c>
    </row>
    <row r="26" ht="16" customHeight="1">
      <c r="A26" s="2" t="n">
        <v>2030</v>
      </c>
      <c r="B26" s="9" t="n">
        <v>30242.55</v>
      </c>
      <c r="C26" s="9" t="n">
        <v>-5706.12845454545</v>
      </c>
      <c r="D26" s="9" t="n">
        <v>-382.397400000002</v>
      </c>
      <c r="E26" s="9" t="n">
        <v>810.4768308</v>
      </c>
      <c r="F26" s="9" t="n">
        <v>7304.6707125</v>
      </c>
      <c r="G26" s="9" t="n">
        <v>10157.5</v>
      </c>
      <c r="H26" s="9" t="n">
        <v>650</v>
      </c>
    </row>
    <row r="28" ht="16" customHeight="1">
      <c r="A28" s="2" t="n">
        <v>2031</v>
      </c>
      <c r="B28" s="9" t="n">
        <v>31677.822486521</v>
      </c>
      <c r="C28" s="9" t="n">
        <v>-5897.95806603091</v>
      </c>
      <c r="D28" s="9" t="n">
        <v>-336.208571466374</v>
      </c>
      <c r="E28" s="9" t="n">
        <v>947.419791371005</v>
      </c>
      <c r="F28" s="9" t="n">
        <v>7931.02779141388</v>
      </c>
      <c r="G28" s="9" t="n">
        <v>10457.1577868835</v>
      </c>
      <c r="H28" s="9" t="n">
        <v>1160.49997474065</v>
      </c>
    </row>
    <row r="30" ht="16" customHeight="1">
      <c r="A30" s="2" t="n">
        <v>2032</v>
      </c>
      <c r="B30" s="9" t="n">
        <v>33100.6665741849</v>
      </c>
      <c r="C30" s="9" t="n">
        <v>-6084.59137541326</v>
      </c>
      <c r="D30" s="9" t="n">
        <v>-291.835543364318</v>
      </c>
      <c r="E30" s="9" t="n">
        <v>1096.55722418186</v>
      </c>
      <c r="F30" s="9" t="n">
        <v>8611.316327908529</v>
      </c>
      <c r="G30" s="9" t="n">
        <v>15587.5002293626</v>
      </c>
      <c r="H30" s="9" t="n">
        <v>1104.93324093031</v>
      </c>
    </row>
    <row r="32" ht="16" customHeight="1">
      <c r="A32" s="2" t="n">
        <v>2033</v>
      </c>
      <c r="B32" s="9" t="n">
        <v>34511.1898837394</v>
      </c>
      <c r="C32" s="9" t="n">
        <v>-6265.66058113182</v>
      </c>
      <c r="D32" s="9" t="n">
        <v>-249.250332082279</v>
      </c>
      <c r="E32" s="9" t="n">
        <v>1258.97502041375</v>
      </c>
      <c r="F32" s="9" t="n">
        <v>9350.22276233529</v>
      </c>
      <c r="G32" s="9" t="n">
        <v>15618.1459066291</v>
      </c>
      <c r="H32" s="9" t="n">
        <v>1879.3986410056</v>
      </c>
    </row>
    <row r="34" ht="16" customHeight="1">
      <c r="A34" s="2" t="n">
        <v>2034</v>
      </c>
      <c r="B34" s="9" t="n">
        <v>35909.499104016</v>
      </c>
      <c r="C34" s="9" t="n">
        <v>-6440.76515635209</v>
      </c>
      <c r="D34" s="9" t="n">
        <v>-208.425302489666</v>
      </c>
      <c r="E34" s="9" t="n">
        <v>1435.85576749136</v>
      </c>
      <c r="F34" s="9" t="n">
        <v>10152.8489281592</v>
      </c>
      <c r="G34" s="9" t="n">
        <v>15729.1859239336</v>
      </c>
      <c r="H34" s="9" t="n">
        <v>2197.54653783509</v>
      </c>
    </row>
    <row r="36" ht="16" customHeight="1">
      <c r="A36" s="2" t="n">
        <v>2035</v>
      </c>
      <c r="B36" s="9" t="n">
        <v>37295.7</v>
      </c>
      <c r="C36" s="9" t="n">
        <v>-6609.46892727272</v>
      </c>
      <c r="D36" s="9" t="n">
        <v>-169.333164000001</v>
      </c>
      <c r="E36" s="9" t="n">
        <v>1628.48735967273</v>
      </c>
      <c r="F36" s="9" t="n">
        <v>11024.750413138</v>
      </c>
      <c r="G36" s="9" t="n">
        <v>18604.1538</v>
      </c>
      <c r="H36" s="9" t="n">
        <v>2499.87501846199</v>
      </c>
    </row>
    <row r="38" ht="16" customHeight="1">
      <c r="A38" s="2" t="n">
        <v>2036</v>
      </c>
      <c r="B38" s="9" t="n">
        <v>40910.5082298484</v>
      </c>
      <c r="C38" s="9" t="n">
        <v>-6778.60524286737</v>
      </c>
      <c r="D38" s="9" t="n">
        <v>496.047624322894</v>
      </c>
      <c r="E38" s="9" t="n">
        <v>1752.42571135477</v>
      </c>
      <c r="F38" s="9" t="n">
        <v>11331.3876756004</v>
      </c>
      <c r="G38" s="9" t="n">
        <v>20089.0891031489</v>
      </c>
      <c r="H38" s="9" t="n">
        <v>6548.16314408527</v>
      </c>
    </row>
    <row r="40" ht="16" customHeight="1">
      <c r="A40" s="2" t="n">
        <v>2037</v>
      </c>
      <c r="B40" s="9" t="n">
        <v>44442.9780986104</v>
      </c>
      <c r="C40" s="9" t="n">
        <v>-6907.19333956008</v>
      </c>
      <c r="D40" s="9" t="n">
        <v>1193.60083477922</v>
      </c>
      <c r="E40" s="9" t="n">
        <v>1882.88425322577</v>
      </c>
      <c r="F40" s="9" t="n">
        <v>11648.4068773239</v>
      </c>
      <c r="G40" s="9" t="n">
        <v>20175.5224951799</v>
      </c>
      <c r="H40" s="9" t="n">
        <v>11217.0653563584</v>
      </c>
    </row>
    <row r="42" ht="16" customHeight="1">
      <c r="A42" s="2" t="n">
        <v>2038</v>
      </c>
      <c r="B42" s="9" t="n">
        <v>47894.9851153795</v>
      </c>
      <c r="C42" s="9" t="n">
        <v>-6994.36903648059</v>
      </c>
      <c r="D42" s="9" t="n">
        <v>1924.88206495174</v>
      </c>
      <c r="E42" s="9" t="n">
        <v>2020.20600162833</v>
      </c>
      <c r="F42" s="9" t="n">
        <v>11976.3309605407</v>
      </c>
      <c r="G42" s="9" t="n">
        <v>19715.9629969474</v>
      </c>
      <c r="H42" s="9" t="n">
        <v>14433.7051747081</v>
      </c>
    </row>
    <row r="44" ht="16" customHeight="1">
      <c r="A44" s="2" t="n">
        <v>2039</v>
      </c>
      <c r="B44" s="9" t="n">
        <v>51268.3620687686</v>
      </c>
      <c r="C44" s="9" t="n">
        <v>-7039.20068444467</v>
      </c>
      <c r="D44" s="9" t="n">
        <v>2691.52212851449</v>
      </c>
      <c r="E44" s="9" t="n">
        <v>2164.75201842332</v>
      </c>
      <c r="F44" s="9" t="n">
        <v>12315.7222410946</v>
      </c>
      <c r="G44" s="9" t="n">
        <v>19266.8713779219</v>
      </c>
      <c r="H44" s="9" t="n">
        <v>16479.4990662582</v>
      </c>
    </row>
    <row r="46" ht="16" customHeight="1">
      <c r="A46" s="2" t="n">
        <v>2040</v>
      </c>
      <c r="B46" s="9" t="n">
        <v>54564.9</v>
      </c>
      <c r="C46" s="9" t="n">
        <v>-7040.68645142385</v>
      </c>
      <c r="D46" s="9" t="n">
        <v>3495.23069207333</v>
      </c>
      <c r="E46" s="9" t="n">
        <v>2316.90236033454</v>
      </c>
      <c r="F46" s="9" t="n">
        <v>12667.1860394615</v>
      </c>
      <c r="G46" s="9" t="n">
        <v>18828.0092</v>
      </c>
      <c r="H46" s="9" t="n">
        <v>18304.9132552627</v>
      </c>
    </row>
    <row r="48" ht="16" customHeight="1">
      <c r="A48" s="2" t="n">
        <v>2041</v>
      </c>
      <c r="B48" s="9" t="n">
        <v>56788.0038852799</v>
      </c>
      <c r="C48" s="9" t="n">
        <v>-6719.14863600089</v>
      </c>
      <c r="D48" s="9" t="n">
        <v>4469.76318478576</v>
      </c>
      <c r="E48" s="9" t="n">
        <v>2467.10244634095</v>
      </c>
      <c r="F48" s="9" t="n">
        <v>12751.804436074</v>
      </c>
      <c r="G48" s="9" t="n">
        <v>18532.0513699391</v>
      </c>
      <c r="H48" s="9" t="n">
        <v>19971.9670459224</v>
      </c>
    </row>
    <row r="50" ht="16" customHeight="1">
      <c r="A50" s="2" t="n">
        <v>2042</v>
      </c>
      <c r="B50" s="9" t="n">
        <v>58976.1627588542</v>
      </c>
      <c r="C50" s="9" t="n">
        <v>-6349.89216965258</v>
      </c>
      <c r="D50" s="9" t="n">
        <v>5498.79617522828</v>
      </c>
      <c r="E50" s="9" t="n">
        <v>2624.71316309237</v>
      </c>
      <c r="F50" s="9" t="n">
        <v>12839.7017499482</v>
      </c>
      <c r="G50" s="9" t="n">
        <v>18240.7457065648</v>
      </c>
      <c r="H50" s="9" t="n">
        <v>21517.8989812268</v>
      </c>
    </row>
    <row r="52" ht="16" customHeight="1">
      <c r="A52" s="2" t="n">
        <v>2043</v>
      </c>
      <c r="B52" s="9" t="n">
        <v>61129.9259220178</v>
      </c>
      <c r="C52" s="9" t="n">
        <v>-5930.73765896222</v>
      </c>
      <c r="D52" s="9" t="n">
        <v>6585.37759076612</v>
      </c>
      <c r="E52" s="9" t="n">
        <v>2790.10013919459</v>
      </c>
      <c r="F52" s="9" t="n">
        <v>12931.1153319733</v>
      </c>
      <c r="G52" s="9" t="n">
        <v>18853.1032429015</v>
      </c>
      <c r="H52" s="9" t="n">
        <v>22967.1846193939</v>
      </c>
    </row>
    <row r="54" ht="16" customHeight="1">
      <c r="A54" s="2" t="n">
        <v>2044</v>
      </c>
      <c r="B54" s="9" t="n">
        <v>63249.8340415885</v>
      </c>
      <c r="C54" s="9" t="n">
        <v>-5459.37721474553</v>
      </c>
      <c r="D54" s="9" t="n">
        <v>7732.72581337703</v>
      </c>
      <c r="E54" s="9" t="n">
        <v>2963.64704278098</v>
      </c>
      <c r="F54" s="9" t="n">
        <v>13026.3005005826</v>
      </c>
      <c r="G54" s="9" t="n">
        <v>18556.7509591092</v>
      </c>
      <c r="H54" s="9" t="n">
        <v>24336.9507381432</v>
      </c>
    </row>
    <row r="56" ht="16" customHeight="1">
      <c r="A56" s="2" t="n">
        <v>2045</v>
      </c>
      <c r="B56" s="9" t="n">
        <v>65336.419285632</v>
      </c>
      <c r="C56" s="9" t="n">
        <v>-4933.36742305342</v>
      </c>
      <c r="D56" s="9" t="n">
        <v>8944.239212284931</v>
      </c>
      <c r="E56" s="9" t="n">
        <v>3145.75647155368</v>
      </c>
      <c r="F56" s="9" t="n">
        <v>13125.5319058663</v>
      </c>
      <c r="G56" s="9" t="n">
        <v>18265.0570424291</v>
      </c>
      <c r="H56" s="9" t="n">
        <v>25639.7474226916</v>
      </c>
    </row>
    <row r="58" ht="16" customHeight="1">
      <c r="A58" s="2" t="n">
        <v>2046</v>
      </c>
      <c r="B58" s="9" t="n">
        <v>67390.2054570543</v>
      </c>
      <c r="C58" s="9" t="n">
        <v>-4350.12192323198</v>
      </c>
      <c r="D58" s="9" t="n">
        <v>10223.5062097038</v>
      </c>
      <c r="E58" s="9" t="n">
        <v>3336.85088673818</v>
      </c>
      <c r="F58" s="9" t="n">
        <v>13229.1049973341</v>
      </c>
      <c r="G58" s="9" t="n">
        <v>17977.948267901</v>
      </c>
      <c r="H58" s="9" t="n">
        <v>26885.1028135816</v>
      </c>
    </row>
    <row r="60" ht="16" customHeight="1">
      <c r="A60" s="2" t="n">
        <v>2047</v>
      </c>
      <c r="B60" s="9" t="n">
        <v>69411.7081250936</v>
      </c>
      <c r="C60" s="9" t="n">
        <v>-3706.90357119157</v>
      </c>
      <c r="D60" s="9" t="n">
        <v>11574.3159095061</v>
      </c>
      <c r="E60" s="9" t="n">
        <v>3537.37359311755</v>
      </c>
      <c r="F60" s="9" t="n">
        <v>13337.3376032105</v>
      </c>
      <c r="G60" s="9" t="n">
        <v>24576.1572994049</v>
      </c>
      <c r="H60" s="9" t="n">
        <v>28080.4570319684</v>
      </c>
    </row>
    <row r="62" ht="16" customHeight="1">
      <c r="A62" s="2" t="n">
        <v>2048</v>
      </c>
      <c r="B62" s="9" t="n">
        <v>71401.4347547456</v>
      </c>
      <c r="C62" s="9" t="n">
        <v>-3000.816164819</v>
      </c>
      <c r="D62" s="9" t="n">
        <v>13000.6693202963</v>
      </c>
      <c r="E62" s="9" t="n">
        <v>3747.78976742013</v>
      </c>
      <c r="F62" s="9" t="n">
        <v>13450.5716297423</v>
      </c>
      <c r="G62" s="9" t="n">
        <v>24189.8442214632</v>
      </c>
      <c r="H62" s="9" t="n">
        <v>29231.7541290801</v>
      </c>
    </row>
    <row r="64" ht="16" customHeight="1">
      <c r="A64" s="2" t="n">
        <v>2049</v>
      </c>
      <c r="B64" s="9" t="n">
        <v>73359.8848341542</v>
      </c>
      <c r="C64" s="9" t="n">
        <v>-2228.79570718207</v>
      </c>
      <c r="D64" s="9" t="n">
        <v>14506.7912061332</v>
      </c>
      <c r="E64" s="9" t="n">
        <v>3968.58753744608</v>
      </c>
      <c r="F64" s="9" t="n">
        <v>13569.1748896434</v>
      </c>
      <c r="G64" s="9" t="n">
        <v>23809.6036060458</v>
      </c>
      <c r="H64" s="9" t="n">
        <v>30343.8338653531</v>
      </c>
    </row>
    <row r="66" ht="16" customHeight="1">
      <c r="A66" s="2" t="n">
        <v>2050</v>
      </c>
      <c r="B66" s="9" t="n">
        <v>75287.55</v>
      </c>
      <c r="C66" s="9" t="n">
        <v>-1387.60118181817</v>
      </c>
      <c r="D66" s="9" t="n">
        <v>16097.1426</v>
      </c>
      <c r="E66" s="9" t="n">
        <v>4200.27911443636</v>
      </c>
      <c r="F66" s="9" t="n">
        <v>13693.5430695</v>
      </c>
      <c r="G66" s="9" t="n">
        <v>23435.34</v>
      </c>
      <c r="H66" s="9" t="n">
        <v>31420.7004130836</v>
      </c>
    </row>
    <row r="68" ht="16" customHeight="1">
      <c r="A68" s="2" t="n">
        <v>2051</v>
      </c>
      <c r="B68" s="9" t="n">
        <v>77208.1244668467</v>
      </c>
      <c r="C68" s="9" t="n">
        <v>-1292.38588768019</v>
      </c>
      <c r="D68" s="9" t="n">
        <v>16692.3557581614</v>
      </c>
      <c r="E68" s="9" t="n">
        <v>4307.01898293287</v>
      </c>
      <c r="F68" s="9" t="n">
        <v>13667.521241367</v>
      </c>
      <c r="G68" s="9" t="n">
        <v>23062.4530804368</v>
      </c>
      <c r="H68" s="9" t="n">
        <v>32465.7122375329</v>
      </c>
    </row>
    <row r="70" ht="16" customHeight="1">
      <c r="A70" s="2" t="n">
        <v>2052</v>
      </c>
      <c r="B70" s="9" t="n">
        <v>79098.1400812622</v>
      </c>
      <c r="C70" s="9" t="n">
        <v>-1182.25876106111</v>
      </c>
      <c r="D70" s="9" t="n">
        <v>17299.367316521</v>
      </c>
      <c r="E70" s="9" t="n">
        <v>4416.07098282632</v>
      </c>
      <c r="F70" s="9" t="n">
        <v>13642.9226245014</v>
      </c>
      <c r="G70" s="9" t="n">
        <v>22695.4992796072</v>
      </c>
      <c r="H70" s="9" t="n">
        <v>33481.7197357445</v>
      </c>
    </row>
    <row r="72" ht="16" customHeight="1">
      <c r="A72" s="2" t="n">
        <v>2053</v>
      </c>
      <c r="B72" s="9" t="n">
        <v>80958.0830745686</v>
      </c>
      <c r="C72" s="9" t="n">
        <v>-1057.12895194082</v>
      </c>
      <c r="D72" s="9" t="n">
        <v>17918.411144652</v>
      </c>
      <c r="E72" s="9" t="n">
        <v>4527.48519804199</v>
      </c>
      <c r="F72" s="9" t="n">
        <v>13619.7810567205</v>
      </c>
      <c r="G72" s="9" t="n">
        <v>22334.3841938299</v>
      </c>
      <c r="H72" s="9" t="n">
        <v>34471.1672187847</v>
      </c>
    </row>
    <row r="74" ht="16" customHeight="1">
      <c r="A74" s="2" t="n">
        <v>2054</v>
      </c>
      <c r="B74" s="9" t="n">
        <v>82788.4319415112</v>
      </c>
      <c r="C74" s="9" t="n">
        <v>-916.90049767238</v>
      </c>
      <c r="D74" s="9" t="n">
        <v>18549.7257479236</v>
      </c>
      <c r="E74" s="9" t="n">
        <v>4641.31279739139</v>
      </c>
      <c r="F74" s="9" t="n">
        <v>13598.1314964475</v>
      </c>
      <c r="G74" s="9" t="n">
        <v>21979.0149215097</v>
      </c>
      <c r="H74" s="9" t="n">
        <v>35436.1699321266</v>
      </c>
    </row>
    <row r="76" ht="16" customHeight="1">
      <c r="A76" s="2" t="n">
        <v>2055</v>
      </c>
      <c r="B76" s="9" t="n">
        <v>84589.65756335809</v>
      </c>
      <c r="C76" s="9" t="n">
        <v>-761.472273159868</v>
      </c>
      <c r="D76" s="9" t="n">
        <v>19193.5543593925</v>
      </c>
      <c r="E76" s="9" t="n">
        <v>4757.60605807243</v>
      </c>
      <c r="F76" s="9" t="n">
        <v>13578.0100577851</v>
      </c>
      <c r="G76" s="9" t="n">
        <v>21629.3000392372</v>
      </c>
      <c r="H76" s="9" t="n">
        <v>36378.5732093574</v>
      </c>
    </row>
    <row r="78" ht="16" customHeight="1">
      <c r="A78" s="2" t="n">
        <v>2056</v>
      </c>
      <c r="B78" s="9" t="n">
        <v>86362.2233290404</v>
      </c>
      <c r="C78" s="9" t="n">
        <v>-590.73793920333</v>
      </c>
      <c r="D78" s="9" t="n">
        <v>19850.1450335159</v>
      </c>
      <c r="E78" s="9" t="n">
        <v>4876.41838967852</v>
      </c>
      <c r="F78" s="9" t="n">
        <v>13559.4540466986</v>
      </c>
      <c r="G78" s="9" t="n">
        <v>21285.1495782694</v>
      </c>
      <c r="H78" s="9" t="n">
        <v>37299.9985851998</v>
      </c>
    </row>
    <row r="80" ht="16" customHeight="1">
      <c r="A80" s="2" t="n">
        <v>2057</v>
      </c>
      <c r="B80" s="9" t="n">
        <v>88106.585254365</v>
      </c>
      <c r="C80" s="9" t="n">
        <v>-404.585888987502</v>
      </c>
      <c r="D80" s="9" t="n">
        <v>20519.7507417215</v>
      </c>
      <c r="E80" s="9" t="n">
        <v>4997.80435872788</v>
      </c>
      <c r="F80" s="9" t="n">
        <v>13542.5019983406</v>
      </c>
      <c r="G80" s="9" t="n">
        <v>20946.4750013833</v>
      </c>
      <c r="H80" s="9" t="n">
        <v>38201.8802235283</v>
      </c>
    </row>
    <row r="82" ht="16" customHeight="1">
      <c r="A82" s="2" t="n">
        <v>2058</v>
      </c>
      <c r="B82" s="9" t="n">
        <v>89823.1920993308</v>
      </c>
      <c r="C82" s="9" t="n">
        <v>-202.899192690275</v>
      </c>
      <c r="D82" s="9" t="n">
        <v>21202.6294698733</v>
      </c>
      <c r="E82" s="9" t="n">
        <v>5121.81971372403</v>
      </c>
      <c r="F82" s="9" t="n">
        <v>13527.1937155558</v>
      </c>
      <c r="G82" s="9" t="n">
        <v>20613.1891800992</v>
      </c>
      <c r="H82" s="9" t="n">
        <v>39085.4940399467</v>
      </c>
    </row>
    <row r="84" ht="16" customHeight="1">
      <c r="A84" s="2" t="n">
        <v>2059</v>
      </c>
      <c r="B84" s="9" t="n">
        <v>91512.4854835778</v>
      </c>
      <c r="C84" s="9" t="n">
        <v>14.4444598139886</v>
      </c>
      <c r="D84" s="9" t="n">
        <v>21899.0443176674</v>
      </c>
      <c r="E84" s="9" t="n">
        <v>5248.52141075929</v>
      </c>
      <c r="F84" s="9" t="n">
        <v>13513.5703086009</v>
      </c>
      <c r="G84" s="9" t="n">
        <v>20285.2063722654</v>
      </c>
      <c r="H84" s="9" t="n">
        <v>39951.9812362566</v>
      </c>
    </row>
    <row r="86" ht="16" customHeight="1">
      <c r="A86" s="2" t="n">
        <v>2060</v>
      </c>
      <c r="B86" s="9" t="n">
        <v>93174.89999999999</v>
      </c>
      <c r="C86" s="9" t="n">
        <v>247.572818181857</v>
      </c>
      <c r="D86" s="9" t="n">
        <v>22609.2636</v>
      </c>
      <c r="E86" s="9" t="n">
        <v>5377.96763967273</v>
      </c>
      <c r="F86" s="9" t="n">
        <v>13501.67423612</v>
      </c>
      <c r="G86" s="9" t="n">
        <v>19962.4422</v>
      </c>
      <c r="H86" s="9" t="n">
        <v>40802.3675060254</v>
      </c>
    </row>
  </sheetData>
  <mergeCells count="4">
    <mergeCell ref="A12:H12"/>
    <mergeCell ref="A4:D4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/>
  </sheetPr>
  <dimension ref="A1:F47"/>
  <sheetViews>
    <sheetView workbookViewId="0">
      <selection activeCell="A1" sqref="A1:F1"/>
    </sheetView>
  </sheetViews>
  <sheetFormatPr baseColWidth="10" defaultColWidth="9" defaultRowHeight="14"/>
  <cols>
    <col width="28" customWidth="1" min="1" max="6"/>
  </cols>
  <sheetData>
    <row r="1" ht="20.5" customHeight="1">
      <c r="A1" s="38" t="inlineStr">
        <is>
          <t>龙头企业碳减排目标对标与企业级路径验证</t>
        </is>
      </c>
      <c r="B1" s="35" t="n"/>
      <c r="C1" s="35" t="n"/>
      <c r="D1" s="35" t="n"/>
      <c r="E1" s="35" t="n"/>
      <c r="F1" s="36" t="n"/>
    </row>
    <row r="3" ht="17.5" customHeight="1">
      <c r="A3" s="34" t="inlineStr">
        <is>
          <t>国内龙头钢铁企业碳减排目标</t>
        </is>
      </c>
      <c r="B3" s="35" t="n"/>
      <c r="C3" s="35" t="n"/>
      <c r="D3" s="35" t="n"/>
      <c r="E3" s="35" t="n"/>
      <c r="F3" s="36" t="n"/>
    </row>
    <row r="4" ht="17" customHeight="1">
      <c r="A4" s="1" t="inlineStr">
        <is>
          <t>企业</t>
        </is>
      </c>
      <c r="B4" s="1" t="inlineStr">
        <is>
          <t>碳达峰年份</t>
        </is>
      </c>
      <c r="C4" s="1" t="inlineStr">
        <is>
          <t>目标年份</t>
        </is>
      </c>
      <c r="D4" s="1" t="inlineStr">
        <is>
          <t>目标减排幅度</t>
        </is>
      </c>
      <c r="E4" s="1" t="inlineStr">
        <is>
          <t>2024-2030折算减排幅度</t>
        </is>
      </c>
      <c r="F4" s="1" t="inlineStr">
        <is>
          <t>备注</t>
        </is>
      </c>
    </row>
    <row r="5" ht="31" customHeight="1">
      <c r="A5" s="2" t="inlineStr">
        <is>
          <t>宝武集团</t>
        </is>
      </c>
      <c r="B5" s="2" t="n">
        <v>2023</v>
      </c>
      <c r="C5" s="2" t="n">
        <v>2035</v>
      </c>
      <c r="D5" s="37" t="inlineStr">
        <is>
          <t>较2020年吨钢碳排放强度下降30%</t>
        </is>
      </c>
      <c r="E5" s="5" t="inlineStr">
        <is>
          <t>13.3%</t>
        </is>
      </c>
      <c r="F5" s="7" t="inlineStr">
        <is>
          <t>行业龙头</t>
        </is>
      </c>
    </row>
    <row r="7" ht="31" customHeight="1">
      <c r="A7" s="2" t="inlineStr">
        <is>
          <t>宝钢股份</t>
        </is>
      </c>
      <c r="B7" s="2" t="n">
        <v>2023</v>
      </c>
      <c r="C7" s="2" t="n">
        <v>2035</v>
      </c>
      <c r="D7" s="37" t="inlineStr">
        <is>
          <t>较2020年吨钢碳排放强度下降30%</t>
        </is>
      </c>
      <c r="E7" s="5" t="inlineStr">
        <is>
          <t>13.3%</t>
        </is>
      </c>
      <c r="F7" s="7" t="n"/>
    </row>
    <row r="9" ht="31" customHeight="1">
      <c r="A9" s="2" t="inlineStr">
        <is>
          <t>鞍钢股份</t>
        </is>
      </c>
      <c r="B9" s="2" t="n">
        <v>2025</v>
      </c>
      <c r="C9" s="2" t="n">
        <v>2035</v>
      </c>
      <c r="D9" s="37" t="inlineStr">
        <is>
          <t>较2025年吨钢碳排放强度下降30%</t>
        </is>
      </c>
      <c r="E9" s="5" t="inlineStr">
        <is>
          <t>19.3%</t>
        </is>
      </c>
      <c r="F9" s="7" t="n"/>
    </row>
    <row r="11" ht="17" customHeight="1">
      <c r="A11" s="2" t="inlineStr">
        <is>
          <t>首钢股份</t>
        </is>
      </c>
      <c r="B11" s="2" t="n">
        <v>2025</v>
      </c>
      <c r="C11" s="2" t="n">
        <v>2035</v>
      </c>
      <c r="D11" s="37" t="inlineStr">
        <is>
          <t>较2025年碳排放总量下降30%</t>
        </is>
      </c>
      <c r="E11" s="5" t="inlineStr">
        <is>
          <t>19.3%</t>
        </is>
      </c>
      <c r="F11" s="7" t="inlineStr">
        <is>
          <t>总量指标</t>
        </is>
      </c>
    </row>
    <row r="13" ht="31" customHeight="1">
      <c r="A13" s="2" t="inlineStr">
        <is>
          <t>河钢集团</t>
        </is>
      </c>
      <c r="B13" s="2" t="n">
        <v>2022</v>
      </c>
      <c r="C13" s="2" t="n">
        <v>2030</v>
      </c>
      <c r="D13" s="37" t="inlineStr">
        <is>
          <t>较2022年吨钢碳排放强度下降30%</t>
        </is>
      </c>
      <c r="E13" s="5" t="inlineStr">
        <is>
          <t>23.4%</t>
        </is>
      </c>
      <c r="F13" s="7" t="n"/>
    </row>
    <row r="15" ht="31" customHeight="1">
      <c r="A15" s="2" t="inlineStr">
        <is>
          <t>建龙集团</t>
        </is>
      </c>
      <c r="B15" s="2" t="n">
        <v>2025</v>
      </c>
      <c r="C15" s="2" t="n">
        <v>2033</v>
      </c>
      <c r="D15" s="37" t="inlineStr">
        <is>
          <t>较2020年吨钢碳排放强度下降25%</t>
        </is>
      </c>
      <c r="E15" s="5" t="inlineStr">
        <is>
          <t>12.4%</t>
        </is>
      </c>
      <c r="F15" s="7" t="n"/>
    </row>
    <row r="17" ht="31" customHeight="1">
      <c r="A17" s="2" t="inlineStr">
        <is>
          <t>中信特钢</t>
        </is>
      </c>
      <c r="B17" s="2" t="n">
        <v>2030</v>
      </c>
      <c r="C17" s="2" t="n">
        <v>2030</v>
      </c>
      <c r="D17" s="37" t="inlineStr">
        <is>
          <t>较2021年吨钢碳排放强度下降5%</t>
        </is>
      </c>
      <c r="E17" s="5" t="inlineStr">
        <is>
          <t>3.4%</t>
        </is>
      </c>
      <c r="F17" s="7" t="inlineStr">
        <is>
          <t>已达峰</t>
        </is>
      </c>
    </row>
    <row r="19" ht="17" customHeight="1">
      <c r="A19" s="4" t="inlineStr">
        <is>
          <t>2024-2030年碳减排目标均值</t>
        </is>
      </c>
      <c r="E19" s="5" t="inlineStr">
        <is>
          <t>14.9%</t>
        </is>
      </c>
    </row>
    <row r="21" ht="17.5" customHeight="1">
      <c r="A21" s="34" t="inlineStr">
        <is>
          <t>标杆企业路径还原(宝山钢铁)</t>
        </is>
      </c>
      <c r="B21" s="35" t="n"/>
      <c r="C21" s="35" t="n"/>
      <c r="D21" s="35" t="n"/>
      <c r="E21" s="35" t="n"/>
      <c r="F21" s="36" t="n"/>
    </row>
    <row r="22" ht="17" customHeight="1">
      <c r="A22" s="1" t="inlineStr">
        <is>
          <t>指标</t>
        </is>
      </c>
      <c r="B22" s="1" t="inlineStr">
        <is>
          <t>2020</t>
        </is>
      </c>
      <c r="C22" s="1" t="inlineStr">
        <is>
          <t>2023</t>
        </is>
      </c>
      <c r="D22" s="1" t="inlineStr">
        <is>
          <t>2024</t>
        </is>
      </c>
      <c r="E22" s="1" t="inlineStr">
        <is>
          <t>2025(目标)</t>
        </is>
      </c>
      <c r="F22" s="1" t="inlineStr">
        <is>
          <t>2030(目标)</t>
        </is>
      </c>
    </row>
    <row r="23" ht="17" customHeight="1">
      <c r="A23" s="4" t="inlineStr">
        <is>
          <t>吨钢碳排放强度(tCO2e/t)</t>
        </is>
      </c>
      <c r="B23" s="2" t="inlineStr">
        <is>
          <t>2.13</t>
        </is>
      </c>
      <c r="C23" s="2" t="inlineStr">
        <is>
          <t>2.04</t>
        </is>
      </c>
      <c r="D23" s="2" t="inlineStr">
        <is>
          <t>2.00</t>
        </is>
      </c>
      <c r="E23" s="2" t="inlineStr">
        <is>
          <t>1.96</t>
        </is>
      </c>
      <c r="F23" s="2" t="inlineStr">
        <is>
          <t>1.81</t>
        </is>
      </c>
    </row>
    <row r="24" ht="17" customHeight="1">
      <c r="A24" s="4" t="inlineStr">
        <is>
          <t>相对指数(2020=1.00)</t>
        </is>
      </c>
      <c r="B24" s="2" t="inlineStr">
        <is>
          <t>1.00</t>
        </is>
      </c>
      <c r="C24" s="2" t="inlineStr">
        <is>
          <t>0.96</t>
        </is>
      </c>
      <c r="D24" s="2" t="inlineStr">
        <is>
          <t>0.94</t>
        </is>
      </c>
      <c r="E24" s="2" t="inlineStr">
        <is>
          <t>0.92</t>
        </is>
      </c>
      <c r="F24" s="2" t="inlineStr">
        <is>
          <t>0.85</t>
        </is>
      </c>
    </row>
    <row r="25" ht="17" customHeight="1">
      <c r="A25" s="5" t="inlineStr">
        <is>
          <t>阶段降幅</t>
        </is>
      </c>
      <c r="B25" s="6" t="inlineStr">
        <is>
          <t>-</t>
        </is>
      </c>
      <c r="C25" s="6" t="inlineStr">
        <is>
          <t>-4.0%</t>
        </is>
      </c>
      <c r="D25" s="6" t="inlineStr">
        <is>
          <t>-2.0%</t>
        </is>
      </c>
      <c r="E25" s="6" t="inlineStr">
        <is>
          <t>-2.2%</t>
        </is>
      </c>
      <c r="F25" s="6" t="inlineStr">
        <is>
          <t>-7.1%</t>
        </is>
      </c>
    </row>
    <row r="27" ht="17.5" customHeight="1">
      <c r="A27" s="34" t="inlineStr">
        <is>
          <t>阶段性降碳斜率校验</t>
        </is>
      </c>
      <c r="B27" s="35" t="n"/>
      <c r="C27" s="35" t="n"/>
      <c r="D27" s="35" t="n"/>
      <c r="E27" s="35" t="n"/>
      <c r="F27" s="36" t="n"/>
    </row>
    <row r="28" ht="17" customHeight="1">
      <c r="A28" s="1" t="inlineStr">
        <is>
          <t>计算步骤</t>
        </is>
      </c>
      <c r="B28" s="1" t="inlineStr">
        <is>
          <t>公式</t>
        </is>
      </c>
      <c r="C28" s="1" t="inlineStr">
        <is>
          <t>结果</t>
        </is>
      </c>
    </row>
    <row r="29" ht="17" customHeight="1">
      <c r="A29" s="2" t="inlineStr">
        <is>
          <t>2025/2024碳强度比</t>
        </is>
      </c>
      <c r="B29" s="2" t="inlineStr">
        <is>
          <t>0.92/0.94</t>
        </is>
      </c>
      <c r="C29" s="2" t="inlineStr">
        <is>
          <t>0.979</t>
        </is>
      </c>
    </row>
    <row r="30" ht="17" customHeight="1">
      <c r="A30" s="2" t="inlineStr">
        <is>
          <t>2030/2025碳强度比</t>
        </is>
      </c>
      <c r="B30" s="2" t="inlineStr">
        <is>
          <t>0.85/0.92</t>
        </is>
      </c>
      <c r="C30" s="2" t="inlineStr">
        <is>
          <t>0.924</t>
        </is>
      </c>
    </row>
    <row r="31" ht="17" customHeight="1">
      <c r="A31" s="2" t="inlineStr">
        <is>
          <t>2030/2024碳强度比</t>
        </is>
      </c>
      <c r="B31" s="2" t="inlineStr">
        <is>
          <t>0.85/0.94</t>
        </is>
      </c>
      <c r="C31" s="2" t="inlineStr">
        <is>
          <t>0.905</t>
        </is>
      </c>
    </row>
    <row r="32" ht="17" customHeight="1">
      <c r="A32" s="2" t="inlineStr">
        <is>
          <t>2024-2030累计降幅</t>
        </is>
      </c>
      <c r="B32" s="2" t="inlineStr">
        <is>
          <t>1-0.905</t>
        </is>
      </c>
      <c r="C32" s="2" t="inlineStr">
        <is>
          <t>9.5%</t>
        </is>
      </c>
    </row>
    <row r="33" ht="17" customHeight="1">
      <c r="A33" s="2" t="inlineStr">
        <is>
          <t>CAGR折算比例</t>
        </is>
      </c>
      <c r="B33" s="2" t="inlineStr">
        <is>
          <t>9.5%/13.3%</t>
        </is>
      </c>
      <c r="C33" s="2" t="inlineStr">
        <is>
          <t>71.4%</t>
        </is>
      </c>
    </row>
    <row r="34" ht="17" customHeight="1">
      <c r="A34" s="2" t="inlineStr">
        <is>
          <t>行业龙头修正后降幅</t>
        </is>
      </c>
      <c r="B34" s="2" t="inlineStr">
        <is>
          <t>14.9%×71.4%</t>
        </is>
      </c>
      <c r="C34" s="2" t="inlineStr">
        <is>
          <t>10.64%</t>
        </is>
      </c>
    </row>
    <row r="36" ht="17.5" customHeight="1">
      <c r="A36" s="34" t="inlineStr">
        <is>
          <t>行业降碳能力分层测算</t>
        </is>
      </c>
      <c r="B36" s="35" t="n"/>
      <c r="C36" s="35" t="n"/>
      <c r="D36" s="35" t="n"/>
      <c r="E36" s="35" t="n"/>
      <c r="F36" s="36" t="n"/>
    </row>
    <row r="37" ht="17" customHeight="1">
      <c r="A37" s="1" t="inlineStr">
        <is>
          <t>分类</t>
        </is>
      </c>
      <c r="B37" s="1" t="inlineStr">
        <is>
          <t>占比</t>
        </is>
      </c>
      <c r="C37" s="1" t="inlineStr">
        <is>
          <t>降碳幅度</t>
        </is>
      </c>
      <c r="D37" s="1" t="inlineStr">
        <is>
          <t>加权</t>
        </is>
      </c>
    </row>
    <row r="38" ht="17" customHeight="1">
      <c r="A38" s="4" t="inlineStr">
        <is>
          <t>头部企业(CR10)</t>
        </is>
      </c>
      <c r="B38" s="4" t="inlineStr">
        <is>
          <t>42%</t>
        </is>
      </c>
      <c r="C38" s="4" t="inlineStr">
        <is>
          <t>10.64%</t>
        </is>
      </c>
      <c r="D38" s="4" t="inlineStr">
        <is>
          <t>4.47%</t>
        </is>
      </c>
    </row>
    <row r="39" ht="17" customHeight="1">
      <c r="A39" s="4" t="inlineStr">
        <is>
          <t>其他企业</t>
        </is>
      </c>
      <c r="B39" s="4" t="inlineStr">
        <is>
          <t>58%</t>
        </is>
      </c>
      <c r="C39" s="4" t="inlineStr">
        <is>
          <t>5.85%</t>
        </is>
      </c>
      <c r="D39" s="4" t="inlineStr">
        <is>
          <t>3.39%</t>
        </is>
      </c>
    </row>
    <row r="40" ht="17" customHeight="1">
      <c r="A40" s="5" t="inlineStr">
        <is>
          <t>行业整体</t>
        </is>
      </c>
      <c r="B40" s="5" t="inlineStr">
        <is>
          <t>100%</t>
        </is>
      </c>
      <c r="C40" s="5" t="inlineStr">
        <is>
          <t>-</t>
        </is>
      </c>
      <c r="D40" s="5" t="inlineStr">
        <is>
          <t>7.86%</t>
        </is>
      </c>
    </row>
    <row r="42" ht="17.5" customHeight="1">
      <c r="A42" s="34" t="inlineStr">
        <is>
          <t>信贷组合校正</t>
        </is>
      </c>
      <c r="B42" s="35" t="n"/>
      <c r="C42" s="35" t="n"/>
      <c r="D42" s="35" t="n"/>
      <c r="E42" s="35" t="n"/>
      <c r="F42" s="36" t="n"/>
    </row>
    <row r="43" ht="17" customHeight="1">
      <c r="A43" s="1" t="inlineStr">
        <is>
          <t>客户类型</t>
        </is>
      </c>
      <c r="B43" s="1" t="inlineStr">
        <is>
          <t>占比</t>
        </is>
      </c>
      <c r="C43" s="1" t="inlineStr">
        <is>
          <t>降碳贡献</t>
        </is>
      </c>
      <c r="D43" s="1" t="inlineStr">
        <is>
          <t>加权</t>
        </is>
      </c>
    </row>
    <row r="44" ht="17" customHeight="1">
      <c r="A44" s="4" t="inlineStr">
        <is>
          <t>国央企(结构减排)</t>
        </is>
      </c>
      <c r="B44" s="4" t="inlineStr">
        <is>
          <t>70%</t>
        </is>
      </c>
      <c r="C44" s="4" t="inlineStr">
        <is>
          <t>7.86%</t>
        </is>
      </c>
      <c r="D44" s="4" t="inlineStr">
        <is>
          <t>5.50%</t>
        </is>
      </c>
    </row>
    <row r="45" ht="17" customHeight="1">
      <c r="A45" s="4" t="inlineStr">
        <is>
          <t>流动资金贷款</t>
        </is>
      </c>
      <c r="B45" s="4" t="inlineStr">
        <is>
          <t>20%</t>
        </is>
      </c>
      <c r="C45" s="4" t="inlineStr">
        <is>
          <t>0%</t>
        </is>
      </c>
      <c r="D45" s="4" t="inlineStr">
        <is>
          <t>0%</t>
        </is>
      </c>
    </row>
    <row r="46" ht="17" customHeight="1">
      <c r="A46" s="4" t="inlineStr">
        <is>
          <t>其他</t>
        </is>
      </c>
      <c r="B46" s="4" t="inlineStr">
        <is>
          <t>10%</t>
        </is>
      </c>
      <c r="C46" s="4" t="inlineStr">
        <is>
          <t>3%</t>
        </is>
      </c>
      <c r="D46" s="4" t="inlineStr">
        <is>
          <t>0.30%</t>
        </is>
      </c>
    </row>
    <row r="47" ht="17" customHeight="1">
      <c r="A47" s="5" t="inlineStr">
        <is>
          <t>组合碳强度降幅</t>
        </is>
      </c>
      <c r="B47" s="5" t="inlineStr">
        <is>
          <t>100%</t>
        </is>
      </c>
      <c r="C47" s="5" t="inlineStr">
        <is>
          <t>-</t>
        </is>
      </c>
      <c r="D47" s="5" t="inlineStr">
        <is>
          <t>5.80%</t>
        </is>
      </c>
    </row>
  </sheetData>
  <mergeCells count="6">
    <mergeCell ref="A42:F42"/>
    <mergeCell ref="A36:F36"/>
    <mergeCell ref="A1:F1"/>
    <mergeCell ref="A27:F27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2026-04-16T05:49:00Z</dcterms:created>
  <dcterms:modified xsi:type="dcterms:W3CDTF">2026-05-12T03:34:05Z</dcterms:modified>
  <cp:lastModifiedBy>戴银龙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2052-6.13.1.8913</vt:lpwstr>
  </property>
  <property name="ICV" fmtid="{D5CDD505-2E9C-101B-9397-08002B2CF9AE}" pid="3">
    <vt:lpwstr>6D5461062B51B35C08CF016A10F7CBED_43</vt:lpwstr>
  </property>
</Properties>
</file>