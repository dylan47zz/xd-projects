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860" windowHeight="10600" tabRatio="600" firstSheet="0" activeTab="3" autoFilterDateGrouping="1"/>
  </bookViews>
  <sheets>
    <sheet name="模型总览与设计逻辑" sheetId="1" state="visible" r:id="rId1"/>
    <sheet name="积极情景" sheetId="2" state="visible" r:id="rId2"/>
    <sheet name="适度情景" sheetId="3" state="visible" r:id="rId3"/>
    <sheet name="保守情景" sheetId="4" state="visible" r:id="rId4"/>
    <sheet name="汇总对比与可视化看板" sheetId="5" state="visible" r:id="rId5"/>
    <sheet name="金融机构目标设置（组合估算）" sheetId="6" state="visible" r:id="rId6"/>
    <sheet name="金融机构目标设置（企业）" sheetId="7" state="visible" r:id="rId7"/>
  </sheets>
  <definedNames/>
  <calcPr calcId="191029" calcMode="auto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%"/>
    <numFmt numFmtId="166" formatCode="0.0000"/>
  </numFmts>
  <fonts count="10">
    <font>
      <name val="宋体"/>
      <charset val="134"/>
      <color theme="1"/>
      <sz val="11"/>
      <scheme val="minor"/>
    </font>
    <font>
      <name val="微软雅黑"/>
      <charset val="134"/>
      <family val="2"/>
      <b val="1"/>
      <color rgb="FF1F4E79"/>
      <sz val="14"/>
    </font>
    <font>
      <name val="微软雅黑"/>
      <charset val="134"/>
      <family val="2"/>
      <b val="1"/>
      <color rgb="FF1F4E79"/>
      <sz val="12"/>
    </font>
    <font>
      <name val="微软雅黑"/>
      <charset val="134"/>
      <family val="2"/>
      <b val="1"/>
      <color rgb="FFFFFFFF"/>
      <sz val="11"/>
    </font>
    <font>
      <name val="微软雅黑"/>
      <charset val="134"/>
      <family val="2"/>
      <sz val="10"/>
    </font>
    <font>
      <name val="微软雅黑"/>
      <charset val="134"/>
      <family val="2"/>
      <b val="1"/>
      <sz val="10"/>
    </font>
    <font>
      <name val="微软雅黑"/>
      <charset val="134"/>
      <family val="2"/>
      <i val="1"/>
      <color rgb="FF666666"/>
      <sz val="9"/>
    </font>
    <font>
      <name val="宋体"/>
      <charset val="134"/>
      <family val="3"/>
      <b val="1"/>
      <color rgb="FF2B2D31"/>
      <sz val="14"/>
      <scheme val="minor"/>
    </font>
    <font>
      <name val="宋体"/>
      <charset val="134"/>
      <family val="3"/>
      <color rgb="FF2B2D31"/>
      <sz val="14"/>
      <scheme val="minor"/>
    </font>
    <font>
      <name val="宋体"/>
      <charset val="134"/>
      <family val="3"/>
      <sz val="9"/>
      <scheme val="minor"/>
    </font>
  </fonts>
  <fills count="14">
    <fill>
      <patternFill/>
    </fill>
    <fill>
      <patternFill patternType="gray125"/>
    </fill>
    <fill>
      <patternFill patternType="solid">
        <fgColor rgb="FFBDD7EE"/>
        <bgColor rgb="FFBDD7EE"/>
      </patternFill>
    </fill>
    <fill>
      <patternFill patternType="solid">
        <fgColor rgb="FF1F4E79"/>
        <bgColor rgb="FF1F4E79"/>
      </patternFill>
    </fill>
    <fill>
      <patternFill patternType="solid">
        <fgColor rgb="FFC6EFCE"/>
        <bgColor rgb="FFC6EFCE"/>
      </patternFill>
    </fill>
    <fill>
      <patternFill patternType="solid">
        <fgColor rgb="FFFCE4D6"/>
        <bgColor rgb="FFFCE4D6"/>
      </patternFill>
    </fill>
    <fill>
      <patternFill patternType="solid">
        <fgColor rgb="FFFFFFFF"/>
        <bgColor indexed="64"/>
      </patternFill>
    </fill>
    <fill>
      <patternFill patternType="solid">
        <fgColor rgb="FFD6E4F0"/>
        <bgColor rgb="FFD6E4F0"/>
      </patternFill>
    </fill>
    <fill>
      <patternFill patternType="solid">
        <fgColor rgb="FFE8DAEF"/>
        <bgColor rgb="FFE8DAEF"/>
      </patternFill>
    </fill>
    <fill>
      <patternFill patternType="solid">
        <fgColor rgb="FFBF8F00"/>
        <bgColor rgb="FFBF8F00"/>
      </patternFill>
    </fill>
    <fill>
      <patternFill patternType="solid">
        <fgColor rgb="FFFFF2CC"/>
        <bgColor rgb="FFFFF2CC"/>
      </patternFill>
    </fill>
    <fill>
      <patternFill patternType="solid">
        <fgColor rgb="FF548235"/>
        <bgColor rgb="FF548235"/>
      </patternFill>
    </fill>
    <fill>
      <patternFill patternType="solid">
        <fgColor rgb="FF4472C4"/>
        <bgColor rgb="FF4472C4"/>
      </patternFill>
    </fill>
    <fill>
      <patternFill patternType="solid">
        <fgColor rgb="FFC00000"/>
        <bgColor rgb="FFC00000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left" wrapText="1" indent="2"/>
    </xf>
    <xf numFmtId="0" fontId="8" fillId="6" borderId="0" applyAlignment="1" pivotButton="0" quotePrefix="0" xfId="0">
      <alignment horizontal="left" wrapText="1" indent="2"/>
    </xf>
    <xf numFmtId="10" fontId="8" fillId="6" borderId="0" applyAlignment="1" pivotButton="0" quotePrefix="0" xfId="0">
      <alignment horizontal="left" wrapText="1" indent="2"/>
    </xf>
    <xf numFmtId="3" fontId="8" fillId="6" borderId="0" applyAlignment="1" pivotButton="0" quotePrefix="0" xfId="0">
      <alignment horizontal="left" wrapText="1" indent="2"/>
    </xf>
    <xf numFmtId="0" fontId="5" fillId="7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4" fontId="4" fillId="5" borderId="1" applyAlignment="1" pivotButton="0" quotePrefix="0" xfId="0">
      <alignment horizontal="center" vertical="center" wrapText="1"/>
    </xf>
    <xf numFmtId="2" fontId="4" fillId="5" borderId="1" applyAlignment="1" pivotButton="0" quotePrefix="0" xfId="0">
      <alignment horizontal="center" vertical="center" wrapText="1"/>
    </xf>
    <xf numFmtId="3" fontId="4" fillId="5" borderId="1" applyAlignment="1" pivotButton="0" quotePrefix="0" xfId="0">
      <alignment horizontal="center" vertical="center" wrapText="1"/>
    </xf>
    <xf numFmtId="165" fontId="4" fillId="8" borderId="1" applyAlignment="1" pivotButton="0" quotePrefix="0" xfId="0">
      <alignment horizontal="center" vertical="center" wrapText="1"/>
    </xf>
    <xf numFmtId="3" fontId="4" fillId="8" borderId="1" applyAlignment="1" pivotButton="0" quotePrefix="0" xfId="0">
      <alignment horizontal="center" vertical="center" wrapText="1"/>
    </xf>
    <xf numFmtId="3" fontId="6" fillId="0" borderId="1" applyAlignment="1" pivotButton="0" quotePrefix="0" xfId="0">
      <alignment horizontal="center" vertical="center" wrapText="1"/>
    </xf>
    <xf numFmtId="3" fontId="5" fillId="8" borderId="1" applyAlignment="1" pivotButton="0" quotePrefix="0" xfId="0">
      <alignment horizontal="center" vertical="center" wrapText="1"/>
    </xf>
    <xf numFmtId="165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166" fontId="4" fillId="5" borderId="1" applyAlignment="1" pivotButton="0" quotePrefix="0" xfId="0">
      <alignment horizontal="center" vertical="center" wrapText="1"/>
    </xf>
    <xf numFmtId="166" fontId="5" fillId="8" borderId="1" applyAlignment="1" pivotButton="0" quotePrefix="0" xfId="0">
      <alignment horizontal="center" vertical="center" wrapText="1"/>
    </xf>
    <xf numFmtId="166" fontId="6" fillId="0" borderId="1" applyAlignment="1" pivotButton="0" quotePrefix="0" xfId="0">
      <alignment horizontal="center" vertical="center" wrapText="1"/>
    </xf>
    <xf numFmtId="3" fontId="5" fillId="4" borderId="1" applyAlignment="1" pivotButton="0" quotePrefix="0" xfId="0">
      <alignment horizontal="center" vertical="center" wrapText="1"/>
    </xf>
    <xf numFmtId="166" fontId="5" fillId="4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4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165" fontId="4" fillId="8" borderId="1" applyAlignment="1" pivotButton="0" quotePrefix="0" xfId="0">
      <alignment horizontal="center" vertical="center" wrapText="1"/>
    </xf>
    <xf numFmtId="165" fontId="4" fillId="5" borderId="1" applyAlignment="1" pivotButton="0" quotePrefix="0" xfId="0">
      <alignment horizontal="center" vertical="center" wrapText="1"/>
    </xf>
    <xf numFmtId="166" fontId="4" fillId="5" borderId="1" applyAlignment="1" pivotButton="0" quotePrefix="0" xfId="0">
      <alignment horizontal="center" vertical="center" wrapText="1"/>
    </xf>
    <xf numFmtId="166" fontId="5" fillId="8" borderId="1" applyAlignment="1" pivotButton="0" quotePrefix="0" xfId="0">
      <alignment horizontal="center" vertical="center" wrapText="1"/>
    </xf>
    <xf numFmtId="166" fontId="6" fillId="0" borderId="1" applyAlignment="1" pivotButton="0" quotePrefix="0" xfId="0">
      <alignment horizontal="center" vertical="center" wrapText="1"/>
    </xf>
    <xf numFmtId="166" fontId="5" fillId="4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/>
  </sheetPr>
  <dimension ref="A1:H50"/>
  <sheetViews>
    <sheetView workbookViewId="0">
      <selection activeCell="A1" sqref="A1:H1"/>
    </sheetView>
  </sheetViews>
  <sheetFormatPr baseColWidth="10" defaultColWidth="9" defaultRowHeight="14"/>
  <cols>
    <col width="32" customWidth="1" min="1" max="1"/>
    <col width="18" customWidth="1" min="2" max="8"/>
  </cols>
  <sheetData>
    <row r="1" ht="20.5" customHeight="1">
      <c r="A1" s="38" t="inlineStr">
        <is>
          <t>钢铁行业减碳基准路径模型 V7 - 行业基准校准版</t>
        </is>
      </c>
      <c r="B1" s="35" t="n"/>
      <c r="C1" s="35" t="n"/>
      <c r="D1" s="35" t="n"/>
      <c r="E1" s="35" t="n"/>
      <c r="F1" s="35" t="n"/>
      <c r="G1" s="35" t="n"/>
      <c r="H1" s="36" t="n"/>
    </row>
    <row r="2">
      <c r="A2" s="39" t="inlineStr">
        <is>
          <t>由碳强度目标倒推技术路径比例 | 基准年碳强度=1.95 | 2024-2060逐年 | CCUS百万吨起步</t>
        </is>
      </c>
      <c r="B2" s="35" t="n"/>
      <c r="C2" s="35" t="n"/>
      <c r="D2" s="35" t="n"/>
      <c r="E2" s="35" t="n"/>
      <c r="F2" s="35" t="n"/>
      <c r="G2" s="35" t="n"/>
      <c r="H2" s="36" t="n"/>
    </row>
    <row r="4" ht="17.5" customHeight="1">
      <c r="A4" s="34" t="inlineStr">
        <is>
          <t>一、模型目的</t>
        </is>
      </c>
      <c r="B4" s="35" t="n"/>
      <c r="C4" s="35" t="n"/>
      <c r="D4" s="35" t="n"/>
      <c r="E4" s="35" t="n"/>
      <c r="F4" s="35" t="n"/>
      <c r="G4" s="35" t="n"/>
      <c r="H4" s="36" t="n"/>
    </row>
    <row r="5">
      <c r="A5" s="37" t="inlineStr">
        <is>
          <t>本模型为金融机构转型金融业务提供钢铁行业减碳基准路径参考。</t>
        </is>
      </c>
      <c r="B5" s="35" t="n"/>
      <c r="C5" s="35" t="n"/>
      <c r="D5" s="35" t="n"/>
      <c r="E5" s="35" t="n"/>
      <c r="F5" s="35" t="n"/>
      <c r="G5" s="35" t="n"/>
      <c r="H5" s="36" t="n"/>
    </row>
    <row r="6">
      <c r="A6" s="37" t="inlineStr">
        <is>
          <t>核心方法论: 自上而下(CG碳预算) + 自下而上(行业技术路径) 双路径耦合。</t>
        </is>
      </c>
      <c r="B6" s="35" t="n"/>
      <c r="C6" s="35" t="n"/>
      <c r="D6" s="35" t="n"/>
      <c r="E6" s="35" t="n"/>
      <c r="F6" s="35" t="n"/>
      <c r="G6" s="35" t="n"/>
      <c r="H6" s="36" t="n"/>
    </row>
    <row r="7">
      <c r="A7" s="37" t="inlineStr">
        <is>
          <t>模型本质: 由结果(碳强度目标)倒推过程(技术路径比例)，确保关键年份目标对齐。</t>
        </is>
      </c>
      <c r="B7" s="35" t="n"/>
      <c r="C7" s="35" t="n"/>
      <c r="D7" s="35" t="n"/>
      <c r="E7" s="35" t="n"/>
      <c r="F7" s="35" t="n"/>
      <c r="G7" s="35" t="n"/>
      <c r="H7" s="36" t="n"/>
    </row>
    <row r="9" ht="17.5" customHeight="1">
      <c r="A9" s="34" t="inlineStr">
        <is>
          <t>二、全局硬性规定</t>
        </is>
      </c>
      <c r="B9" s="35" t="n"/>
      <c r="C9" s="35" t="n"/>
      <c r="D9" s="35" t="n"/>
      <c r="E9" s="35" t="n"/>
      <c r="F9" s="35" t="n"/>
      <c r="G9" s="35" t="n"/>
      <c r="H9" s="36" t="n"/>
    </row>
    <row r="10">
      <c r="A10" s="37" t="inlineStr">
        <is>
          <t>1. 禁止硬编码: 除Step1/2基准数据外，所有数值由公式生成。</t>
        </is>
      </c>
      <c r="B10" s="35" t="n"/>
      <c r="C10" s="35" t="n"/>
      <c r="D10" s="35" t="n"/>
      <c r="E10" s="35" t="n"/>
      <c r="F10" s="35" t="n"/>
      <c r="G10" s="35" t="n"/>
      <c r="H10" s="36" t="n"/>
    </row>
    <row r="11">
      <c r="A11" s="37" t="inlineStr">
        <is>
          <t>2. 年份连续: 2024-2060每一年数据，不得省略。</t>
        </is>
      </c>
      <c r="B11" s="35" t="n"/>
      <c r="C11" s="35" t="n"/>
      <c r="D11" s="35" t="n"/>
      <c r="E11" s="35" t="n"/>
      <c r="F11" s="35" t="n"/>
      <c r="G11" s="35" t="n"/>
      <c r="H11" s="36" t="n"/>
    </row>
    <row r="12">
      <c r="A12" s="37" t="inlineStr">
        <is>
          <t>3. 情景梯度: 保守 &gt; 适度 &gt; 积极(每年都必须成立)。</t>
        </is>
      </c>
      <c r="B12" s="35" t="n"/>
      <c r="C12" s="35" t="n"/>
      <c r="D12" s="35" t="n"/>
      <c r="E12" s="35" t="n"/>
      <c r="F12" s="35" t="n"/>
      <c r="G12" s="35" t="n"/>
      <c r="H12" s="36" t="n"/>
    </row>
    <row r="13">
      <c r="A13" s="37" t="inlineStr">
        <is>
          <t>4. 基准年约束: 2024年碳强度=1.95, 2025年碳强度=1.904(三情景统一, 自然效应)。</t>
        </is>
      </c>
      <c r="B13" s="35" t="n"/>
      <c r="C13" s="35" t="n"/>
      <c r="D13" s="35" t="n"/>
      <c r="E13" s="35" t="n"/>
      <c r="F13" s="35" t="n"/>
      <c r="G13" s="35" t="n"/>
      <c r="H13" s="36" t="n"/>
    </row>
    <row r="14">
      <c r="A14" s="37" t="inlineStr">
        <is>
          <t>5. 单位规范: 产量(万吨), 碳排放(万吨CO2), 碳强度(tCO2/t)。</t>
        </is>
      </c>
      <c r="B14" s="35" t="n"/>
      <c r="C14" s="35" t="n"/>
      <c r="D14" s="35" t="n"/>
      <c r="E14" s="35" t="n"/>
      <c r="F14" s="35" t="n"/>
      <c r="G14" s="35" t="n"/>
      <c r="H14" s="36" t="n"/>
    </row>
    <row r="15">
      <c r="A15" s="37" t="inlineStr">
        <is>
          <t>6. CCUS约束: 百万吨起步, 2030年保守200-500/适度500-800/积极800-1200万吨。</t>
        </is>
      </c>
      <c r="B15" s="35" t="n"/>
      <c r="C15" s="35" t="n"/>
      <c r="D15" s="35" t="n"/>
      <c r="E15" s="35" t="n"/>
      <c r="F15" s="35" t="n"/>
      <c r="G15" s="35" t="n"/>
      <c r="H15" s="36" t="n"/>
    </row>
    <row r="16">
      <c r="A16" s="37" t="inlineStr">
        <is>
          <t>7. H2冶金基准: 2024年=1%(约1000万吨), 2030年~2900万吨, 2050年0.96-1.12亿吨。</t>
        </is>
      </c>
      <c r="B16" s="35" t="n"/>
      <c r="C16" s="35" t="n"/>
      <c r="D16" s="35" t="n"/>
      <c r="E16" s="35" t="n"/>
      <c r="F16" s="35" t="n"/>
      <c r="G16" s="35" t="n"/>
      <c r="H16" s="36" t="n"/>
    </row>
    <row r="17" ht="17.5" customHeight="1">
      <c r="A17" s="34" t="inlineStr">
        <is>
          <t>三、关键年份目标(已校准)</t>
        </is>
      </c>
      <c r="B17" s="35" t="n"/>
      <c r="C17" s="35" t="n"/>
      <c r="D17" s="35" t="n"/>
      <c r="E17" s="35" t="n"/>
      <c r="F17" s="35" t="n"/>
      <c r="G17" s="35" t="n"/>
      <c r="H17" s="36" t="n"/>
    </row>
    <row r="18" ht="17" customHeight="1">
      <c r="A18" s="1" t="inlineStr">
        <is>
          <t>指标</t>
        </is>
      </c>
      <c r="B18" s="31" t="inlineStr">
        <is>
          <t>积极</t>
        </is>
      </c>
      <c r="C18" s="32" t="inlineStr">
        <is>
          <t>适度</t>
        </is>
      </c>
      <c r="D18" s="33" t="inlineStr">
        <is>
          <t>保守</t>
        </is>
      </c>
    </row>
    <row r="19" ht="17" customHeight="1">
      <c r="A19" s="37" t="inlineStr">
        <is>
          <t>2024碳强度</t>
        </is>
      </c>
      <c r="B19" s="2" t="inlineStr">
        <is>
          <t>1.9500</t>
        </is>
      </c>
      <c r="C19" s="2" t="inlineStr">
        <is>
          <t>1.9500</t>
        </is>
      </c>
      <c r="D19" s="2" t="inlineStr">
        <is>
          <t>1.9500</t>
        </is>
      </c>
    </row>
    <row r="20" ht="17" customHeight="1">
      <c r="A20" s="37" t="inlineStr">
        <is>
          <t>2025碳强度</t>
        </is>
      </c>
      <c r="B20" s="2" t="inlineStr">
        <is>
          <t>1.9051</t>
        </is>
      </c>
      <c r="C20" s="2" t="inlineStr">
        <is>
          <t>1.9051</t>
        </is>
      </c>
      <c r="D20" s="2" t="inlineStr">
        <is>
          <t>1.9051</t>
        </is>
      </c>
    </row>
    <row r="21" ht="17" customHeight="1">
      <c r="A21" s="37" t="inlineStr">
        <is>
          <t>2030碳强度</t>
        </is>
      </c>
      <c r="B21" s="2" t="inlineStr">
        <is>
          <t>1.5920</t>
        </is>
      </c>
      <c r="C21" s="2" t="inlineStr">
        <is>
          <t>1.7990</t>
        </is>
      </c>
      <c r="D21" s="2" t="inlineStr">
        <is>
          <t>1.8425</t>
        </is>
      </c>
    </row>
    <row r="22" ht="17" customHeight="1">
      <c r="A22" s="37" t="inlineStr">
        <is>
          <t>2030降幅(vs2024)</t>
        </is>
      </c>
      <c r="B22" s="2" t="inlineStr">
        <is>
          <t>-18.36%</t>
        </is>
      </c>
      <c r="C22" s="2" t="inlineStr">
        <is>
          <t>-7.74%</t>
        </is>
      </c>
      <c r="D22" s="2" t="inlineStr">
        <is>
          <t>-5.52%</t>
        </is>
      </c>
    </row>
    <row r="23" ht="17" customHeight="1">
      <c r="A23" s="37" t="inlineStr">
        <is>
          <t>2035碳强度</t>
        </is>
      </c>
      <c r="B23" s="2" t="inlineStr">
        <is>
          <t>1.1734</t>
        </is>
      </c>
      <c r="C23" s="2" t="inlineStr">
        <is>
          <t>1.6185</t>
        </is>
      </c>
      <c r="D23" s="2" t="inlineStr">
        <is>
          <t>1.6814</t>
        </is>
      </c>
    </row>
    <row r="24" ht="17" customHeight="1">
      <c r="A24" s="37" t="inlineStr">
        <is>
          <t>2060碳强度</t>
        </is>
      </c>
      <c r="B24" s="2" t="inlineStr">
        <is>
          <t>0.0040</t>
        </is>
      </c>
      <c r="C24" s="2" t="inlineStr">
        <is>
          <t>0.0060</t>
        </is>
      </c>
      <c r="D24" s="2" t="inlineStr">
        <is>
          <t>0.0080</t>
        </is>
      </c>
    </row>
    <row r="25" ht="17" customHeight="1">
      <c r="A25" s="37" t="inlineStr">
        <is>
          <t>2060 CCUS(亿吨)</t>
        </is>
      </c>
      <c r="B25" s="2" t="inlineStr">
        <is>
          <t>2.7</t>
        </is>
      </c>
      <c r="C25" s="2" t="inlineStr">
        <is>
          <t>4.1</t>
        </is>
      </c>
      <c r="D25" s="2" t="inlineStr">
        <is>
          <t>5.6</t>
        </is>
      </c>
    </row>
    <row r="27" ht="17.5" customHeight="1">
      <c r="A27" s="34" t="inlineStr">
        <is>
          <t>四、基准年参数(Step 2)</t>
        </is>
      </c>
      <c r="B27" s="35" t="n"/>
      <c r="C27" s="35" t="n"/>
      <c r="D27" s="35" t="n"/>
      <c r="E27" s="35" t="n"/>
      <c r="F27" s="35" t="n"/>
      <c r="G27" s="35" t="n"/>
      <c r="H27" s="36" t="n"/>
    </row>
    <row r="28" ht="17" customHeight="1">
      <c r="A28" s="37" t="inlineStr">
        <is>
          <t>基准年</t>
        </is>
      </c>
      <c r="B28" s="24" t="inlineStr">
        <is>
          <t>2024</t>
        </is>
      </c>
      <c r="C28" s="37" t="inlineStr">
        <is>
          <t>长流程废钢比(%)</t>
        </is>
      </c>
      <c r="D28" s="24" t="inlineStr">
        <is>
          <t>30</t>
        </is>
      </c>
    </row>
    <row r="29" ht="17" customHeight="1">
      <c r="A29" s="37" t="inlineStr">
        <is>
          <t>粗钢产量(万吨)</t>
        </is>
      </c>
      <c r="B29" s="24" t="inlineStr">
        <is>
          <t>100,509</t>
        </is>
      </c>
      <c r="C29" s="37" t="inlineStr">
        <is>
          <t>短流程废钢比(%)</t>
        </is>
      </c>
      <c r="D29" s="24" t="inlineStr">
        <is>
          <t>100</t>
        </is>
      </c>
    </row>
    <row r="30" ht="17" customHeight="1">
      <c r="A30" s="37" t="inlineStr">
        <is>
          <t>碳排放总量(万吨CO2)</t>
        </is>
      </c>
      <c r="B30" s="24" t="inlineStr">
        <is>
          <t>195,992</t>
        </is>
      </c>
      <c r="C30" s="37" t="inlineStr">
        <is>
          <t>氢冶金废钢比(%)</t>
        </is>
      </c>
      <c r="D30" s="24" t="inlineStr">
        <is>
          <t>50</t>
        </is>
      </c>
    </row>
    <row r="31" ht="17" customHeight="1">
      <c r="A31" s="37" t="inlineStr">
        <is>
          <t>吨钢碳排放强度(tCO2/t)</t>
        </is>
      </c>
      <c r="B31" s="24" t="inlineStr">
        <is>
          <t>1.95</t>
        </is>
      </c>
      <c r="C31" s="37" t="inlineStr">
        <is>
          <t>吨钢耗废钢量</t>
        </is>
      </c>
      <c r="D31" s="24" t="inlineStr">
        <is>
          <t>1.1</t>
        </is>
      </c>
    </row>
    <row r="32" ht="17" customHeight="1">
      <c r="A32" s="37" t="inlineStr">
        <is>
          <t>长流程产量占比(%)</t>
        </is>
      </c>
      <c r="B32" s="24" t="inlineStr">
        <is>
          <t>89</t>
        </is>
      </c>
      <c r="C32" s="37" t="inlineStr">
        <is>
          <t>吨钢耗铁水量</t>
        </is>
      </c>
      <c r="D32" s="24" t="inlineStr">
        <is>
          <t>1.053</t>
        </is>
      </c>
    </row>
    <row r="33" ht="17" customHeight="1">
      <c r="A33" s="37" t="inlineStr">
        <is>
          <t>短流程产量占比(%)</t>
        </is>
      </c>
      <c r="B33" s="24" t="inlineStr">
        <is>
          <t>10</t>
        </is>
      </c>
      <c r="C33" s="37" t="inlineStr">
        <is>
          <t>吨铁水耗铁矿石量</t>
        </is>
      </c>
      <c r="D33" s="24" t="inlineStr">
        <is>
          <t>1.65</t>
        </is>
      </c>
    </row>
    <row r="34" ht="31" customHeight="1">
      <c r="A34" s="37" t="inlineStr">
        <is>
          <t>氢冶金产量占比(%)</t>
        </is>
      </c>
      <c r="B34" s="24" t="inlineStr">
        <is>
          <t>1</t>
        </is>
      </c>
      <c r="C34" s="37" t="inlineStr">
        <is>
          <t>BF-BOF碳排放强度(tCO2/t)</t>
        </is>
      </c>
      <c r="D34" s="24" t="inlineStr">
        <is>
          <t>1.80</t>
        </is>
      </c>
    </row>
    <row r="35" ht="31" customHeight="1">
      <c r="C35" s="37" t="inlineStr">
        <is>
          <t>Scrap-EAF碳排放强度(tCO2/t)</t>
        </is>
      </c>
      <c r="D35" s="24" t="inlineStr">
        <is>
          <t>0.45</t>
        </is>
      </c>
    </row>
    <row r="36" ht="31" customHeight="1">
      <c r="C36" s="37" t="inlineStr">
        <is>
          <t>长流程铁水碳排放强度(tCO2/t)</t>
        </is>
      </c>
      <c r="D36" s="24" t="inlineStr">
        <is>
          <t>1.26</t>
        </is>
      </c>
    </row>
    <row r="37" ht="31" customHeight="1">
      <c r="C37" s="37" t="inlineStr">
        <is>
          <t>DRI-EAF碳排放强度(tCO2/t)</t>
        </is>
      </c>
      <c r="D37" s="24" t="inlineStr">
        <is>
          <t>1.65</t>
        </is>
      </c>
    </row>
    <row r="38" ht="31" customHeight="1">
      <c r="C38" s="37" t="inlineStr">
        <is>
          <t>电网因子(kgCO2/kWh)</t>
        </is>
      </c>
      <c r="D38" s="24" t="inlineStr">
        <is>
          <t>0.5306</t>
        </is>
      </c>
    </row>
    <row r="39" ht="31" customHeight="1">
      <c r="C39" s="37" t="inlineStr">
        <is>
          <t>BF-BOF耗电(kWh/t)</t>
        </is>
      </c>
      <c r="D39" s="24" t="inlineStr">
        <is>
          <t>450</t>
        </is>
      </c>
    </row>
    <row r="40" ht="31" customHeight="1">
      <c r="C40" s="37" t="inlineStr">
        <is>
          <t>Scrap-EAF耗电(kWh/t)</t>
        </is>
      </c>
      <c r="D40" s="24" t="inlineStr">
        <is>
          <t>550</t>
        </is>
      </c>
    </row>
    <row r="41" ht="31" customHeight="1">
      <c r="C41" s="37" t="inlineStr">
        <is>
          <t>DRI-EAF耗电(kWh/t)</t>
        </is>
      </c>
      <c r="D41" s="24" t="inlineStr">
        <is>
          <t>500</t>
        </is>
      </c>
    </row>
    <row r="43" ht="17.5" customHeight="1">
      <c r="A43" s="34" t="inlineStr">
        <is>
          <t>五、Sheet索引</t>
        </is>
      </c>
      <c r="B43" s="35" t="n"/>
      <c r="C43" s="35" t="n"/>
      <c r="D43" s="35" t="n"/>
      <c r="E43" s="35" t="n"/>
      <c r="F43" s="35" t="n"/>
      <c r="G43" s="35" t="n"/>
      <c r="H43" s="36" t="n"/>
    </row>
    <row r="44" ht="31" customHeight="1">
      <c r="A44" s="2" t="inlineStr">
        <is>
          <t>Sheet 1</t>
        </is>
      </c>
      <c r="B44" s="2" t="inlineStr">
        <is>
          <t>模型总览与设计逻辑</t>
        </is>
      </c>
      <c r="C44" s="37" t="inlineStr">
        <is>
          <t>本页</t>
        </is>
      </c>
      <c r="D44" s="35" t="n"/>
      <c r="E44" s="35" t="n"/>
      <c r="F44" s="35" t="n"/>
      <c r="G44" s="35" t="n"/>
      <c r="H44" s="36" t="n"/>
    </row>
    <row r="45" ht="17" customHeight="1">
      <c r="A45" s="2" t="inlineStr">
        <is>
          <t>Sheet 2</t>
        </is>
      </c>
      <c r="B45" s="2" t="inlineStr">
        <is>
          <t>积极情景</t>
        </is>
      </c>
      <c r="C45" s="37" t="inlineStr">
        <is>
          <t>NZE/1.5C路线图</t>
        </is>
      </c>
      <c r="D45" s="35" t="n"/>
      <c r="E45" s="35" t="n"/>
      <c r="F45" s="35" t="n"/>
      <c r="G45" s="35" t="n"/>
      <c r="H45" s="36" t="n"/>
    </row>
    <row r="46" ht="17" customHeight="1">
      <c r="A46" s="2" t="inlineStr">
        <is>
          <t>Sheet 3</t>
        </is>
      </c>
      <c r="B46" s="2" t="inlineStr">
        <is>
          <t>适度情景</t>
        </is>
      </c>
      <c r="C46" s="37" t="inlineStr">
        <is>
          <t>CGE 2C(推荐对标)</t>
        </is>
      </c>
      <c r="D46" s="35" t="n"/>
      <c r="E46" s="35" t="n"/>
      <c r="F46" s="35" t="n"/>
      <c r="G46" s="35" t="n"/>
      <c r="H46" s="36" t="n"/>
    </row>
    <row r="47" ht="17" customHeight="1">
      <c r="A47" s="2" t="inlineStr">
        <is>
          <t>Sheet 4</t>
        </is>
      </c>
      <c r="B47" s="2" t="inlineStr">
        <is>
          <t>保守情景</t>
        </is>
      </c>
      <c r="C47" s="37" t="inlineStr">
        <is>
          <t>NDC政策承诺</t>
        </is>
      </c>
      <c r="D47" s="35" t="n"/>
      <c r="E47" s="35" t="n"/>
      <c r="F47" s="35" t="n"/>
      <c r="G47" s="35" t="n"/>
      <c r="H47" s="36" t="n"/>
    </row>
    <row r="48" ht="17" customHeight="1">
      <c r="A48" s="2" t="inlineStr">
        <is>
          <t>Sheet 5</t>
        </is>
      </c>
      <c r="B48" s="2" t="inlineStr">
        <is>
          <t>汇总对比与可视化</t>
        </is>
      </c>
      <c r="C48" s="37" t="inlineStr">
        <is>
          <t>三情景对比+图表</t>
        </is>
      </c>
      <c r="D48" s="35" t="n"/>
      <c r="E48" s="35" t="n"/>
      <c r="F48" s="35" t="n"/>
      <c r="G48" s="35" t="n"/>
      <c r="H48" s="36" t="n"/>
    </row>
    <row r="49" ht="17" customHeight="1">
      <c r="A49" s="2" t="inlineStr">
        <is>
          <t>Sheet 6</t>
        </is>
      </c>
      <c r="B49" s="2" t="inlineStr">
        <is>
          <t>金融机构(组合)</t>
        </is>
      </c>
      <c r="C49" s="37" t="inlineStr">
        <is>
          <t>银行总行资产组合对标</t>
        </is>
      </c>
      <c r="D49" s="35" t="n"/>
      <c r="E49" s="35" t="n"/>
      <c r="F49" s="35" t="n"/>
      <c r="G49" s="35" t="n"/>
      <c r="H49" s="36" t="n"/>
    </row>
    <row r="50" ht="17" customHeight="1">
      <c r="A50" s="2" t="inlineStr">
        <is>
          <t>Sheet 7</t>
        </is>
      </c>
      <c r="B50" s="2" t="inlineStr">
        <is>
          <t>金融机构(企业)</t>
        </is>
      </c>
      <c r="C50" s="37" t="inlineStr">
        <is>
          <t>龙头企业目标对标</t>
        </is>
      </c>
      <c r="D50" s="35" t="n"/>
      <c r="E50" s="35" t="n"/>
      <c r="F50" s="35" t="n"/>
      <c r="G50" s="35" t="n"/>
      <c r="H50" s="36" t="n"/>
    </row>
  </sheetData>
  <mergeCells count="24">
    <mergeCell ref="A9:H9"/>
    <mergeCell ref="C47:H47"/>
    <mergeCell ref="C50:H50"/>
    <mergeCell ref="A15:H15"/>
    <mergeCell ref="C44:H44"/>
    <mergeCell ref="A11:H11"/>
    <mergeCell ref="A1:H1"/>
    <mergeCell ref="A6:H6"/>
    <mergeCell ref="C46:H46"/>
    <mergeCell ref="A7:H7"/>
    <mergeCell ref="A16:H16"/>
    <mergeCell ref="C48:H48"/>
    <mergeCell ref="A27:H27"/>
    <mergeCell ref="A12:H12"/>
    <mergeCell ref="A2:H2"/>
    <mergeCell ref="A14:H14"/>
    <mergeCell ref="C49:H49"/>
    <mergeCell ref="A5:H5"/>
    <mergeCell ref="A17:H17"/>
    <mergeCell ref="A4:H4"/>
    <mergeCell ref="A43:H43"/>
    <mergeCell ref="A10:H10"/>
    <mergeCell ref="C45:H45"/>
    <mergeCell ref="A13:H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48235"/>
    <outlinePr summaryBelow="1" summaryRight="1"/>
    <pageSetUpPr/>
  </sheetPr>
  <dimension ref="A1:AQ65"/>
  <sheetViews>
    <sheetView workbookViewId="0">
      <selection activeCell="A12" sqref="A12:AM12"/>
    </sheetView>
  </sheetViews>
  <sheetFormatPr baseColWidth="10" defaultColWidth="9" defaultRowHeight="14"/>
  <cols>
    <col width="35" customWidth="1" min="1" max="1"/>
    <col width="28" customWidth="1" min="2" max="2"/>
    <col width="14" customWidth="1" min="3" max="39"/>
    <col width="28" customWidth="1" min="42" max="42"/>
    <col width="16" customWidth="1" min="43" max="43"/>
  </cols>
  <sheetData>
    <row r="1" ht="20.5" customHeight="1">
      <c r="A1" s="38" t="inlineStr">
        <is>
          <t>钢铁行业减碳基准路径 - 积极情景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6" t="n"/>
    </row>
    <row r="2">
      <c r="A2" s="39" t="inlineStr">
        <is>
          <t>基准年2024 | 碳强度1.95 tCO2/t | CCUS百万吨起步 | 2024-2060逐年</t>
        </is>
      </c>
      <c r="B2" s="35" t="n"/>
      <c r="C2" s="35" t="n"/>
      <c r="D2" s="35" t="n"/>
      <c r="E2" s="35" t="n"/>
      <c r="F2" s="35" t="n"/>
      <c r="G2" s="35" t="n"/>
      <c r="H2" s="35" t="n"/>
      <c r="I2" s="35" t="n"/>
      <c r="J2" s="36" t="n"/>
    </row>
    <row r="4" ht="17" customHeight="1">
      <c r="A4" s="1" t="inlineStr">
        <is>
          <t>指标</t>
        </is>
      </c>
      <c r="B4" s="1" t="inlineStr">
        <is>
          <t>公式说明</t>
        </is>
      </c>
      <c r="C4" s="1" t="n">
        <v>2024</v>
      </c>
      <c r="D4" s="1" t="n">
        <v>2025</v>
      </c>
      <c r="E4" s="1" t="n">
        <v>2026</v>
      </c>
      <c r="F4" s="1" t="n">
        <v>2027</v>
      </c>
      <c r="G4" s="1" t="n">
        <v>2028</v>
      </c>
      <c r="H4" s="1" t="n">
        <v>2029</v>
      </c>
      <c r="I4" s="1" t="n">
        <v>2030</v>
      </c>
      <c r="J4" s="1" t="n">
        <v>2031</v>
      </c>
      <c r="K4" s="1" t="n">
        <v>2032</v>
      </c>
      <c r="L4" s="1" t="n">
        <v>2033</v>
      </c>
      <c r="M4" s="1" t="n">
        <v>2034</v>
      </c>
      <c r="N4" s="1" t="n">
        <v>2035</v>
      </c>
      <c r="O4" s="1" t="n">
        <v>2036</v>
      </c>
      <c r="P4" s="1" t="n">
        <v>2037</v>
      </c>
      <c r="Q4" s="1" t="n">
        <v>2038</v>
      </c>
      <c r="R4" s="1" t="n">
        <v>2039</v>
      </c>
      <c r="S4" s="1" t="n">
        <v>2040</v>
      </c>
      <c r="T4" s="1" t="n">
        <v>2041</v>
      </c>
      <c r="U4" s="1" t="n">
        <v>2042</v>
      </c>
      <c r="V4" s="1" t="n">
        <v>2043</v>
      </c>
      <c r="W4" s="1" t="n">
        <v>2044</v>
      </c>
      <c r="X4" s="1" t="n">
        <v>2045</v>
      </c>
      <c r="Y4" s="1" t="n">
        <v>2046</v>
      </c>
      <c r="Z4" s="1" t="n">
        <v>2047</v>
      </c>
      <c r="AA4" s="1" t="n">
        <v>2048</v>
      </c>
      <c r="AB4" s="1" t="n">
        <v>2049</v>
      </c>
      <c r="AC4" s="1" t="n">
        <v>2050</v>
      </c>
      <c r="AD4" s="1" t="n">
        <v>2051</v>
      </c>
      <c r="AE4" s="1" t="n">
        <v>2052</v>
      </c>
      <c r="AF4" s="1" t="n">
        <v>2053</v>
      </c>
      <c r="AG4" s="1" t="n">
        <v>2054</v>
      </c>
      <c r="AH4" s="1" t="n">
        <v>2055</v>
      </c>
      <c r="AI4" s="1" t="n">
        <v>2056</v>
      </c>
      <c r="AJ4" s="1" t="n">
        <v>2057</v>
      </c>
      <c r="AK4" s="1" t="n">
        <v>2058</v>
      </c>
      <c r="AL4" s="1" t="n">
        <v>2059</v>
      </c>
      <c r="AM4" s="1" t="n">
        <v>2060</v>
      </c>
      <c r="AP4" s="41" t="inlineStr">
        <is>
          <t>Step 2: 基准年参数</t>
        </is>
      </c>
      <c r="AQ4" s="36" t="n"/>
    </row>
    <row r="5" ht="17.5" customHeight="1">
      <c r="A5" s="34" t="inlineStr">
        <is>
          <t>Step 1: 宏观经济假设</t>
        </is>
      </c>
      <c r="B5" s="35" t="n"/>
      <c r="C5" s="35" t="n"/>
      <c r="D5" s="35" t="n"/>
      <c r="E5" s="35" t="n"/>
      <c r="F5" s="35" t="n"/>
      <c r="G5" s="35" t="n"/>
      <c r="H5" s="35" t="n"/>
      <c r="I5" s="35" t="n"/>
      <c r="J5" s="35" t="n"/>
      <c r="K5" s="35" t="n"/>
      <c r="L5" s="35" t="n"/>
      <c r="M5" s="35" t="n"/>
      <c r="N5" s="35" t="n"/>
      <c r="O5" s="35" t="n"/>
      <c r="P5" s="35" t="n"/>
      <c r="Q5" s="35" t="n"/>
      <c r="R5" s="35" t="n"/>
      <c r="S5" s="35" t="n"/>
      <c r="T5" s="35" t="n"/>
      <c r="U5" s="35" t="n"/>
      <c r="V5" s="35" t="n"/>
      <c r="W5" s="35" t="n"/>
      <c r="X5" s="35" t="n"/>
      <c r="Y5" s="35" t="n"/>
      <c r="Z5" s="35" t="n"/>
      <c r="AA5" s="35" t="n"/>
      <c r="AB5" s="35" t="n"/>
      <c r="AC5" s="35" t="n"/>
      <c r="AD5" s="35" t="n"/>
      <c r="AE5" s="35" t="n"/>
      <c r="AF5" s="35" t="n"/>
      <c r="AG5" s="35" t="n"/>
      <c r="AH5" s="35" t="n"/>
      <c r="AI5" s="35" t="n"/>
      <c r="AJ5" s="35" t="n"/>
      <c r="AK5" s="35" t="n"/>
      <c r="AL5" s="35" t="n"/>
      <c r="AM5" s="36" t="n"/>
      <c r="AP5" s="1" t="inlineStr">
        <is>
          <t>参数名称</t>
        </is>
      </c>
      <c r="AQ5" s="1" t="inlineStr">
        <is>
          <t>参数值</t>
        </is>
      </c>
    </row>
    <row r="6" ht="17" customHeight="1">
      <c r="A6" s="40" t="inlineStr">
        <is>
          <t>GDP增长率(%)</t>
        </is>
      </c>
      <c r="B6" s="7" t="inlineStr">
        <is>
          <t>国家统计局/IFS-CGE</t>
        </is>
      </c>
      <c r="C6" s="42" t="n">
        <v>4.9</v>
      </c>
      <c r="D6" s="42" t="n">
        <v>4.5</v>
      </c>
      <c r="E6" s="42" t="n">
        <v>4.3</v>
      </c>
      <c r="F6" s="42" t="n">
        <v>4.1</v>
      </c>
      <c r="G6" s="42" t="n">
        <v>3.9</v>
      </c>
      <c r="H6" s="42" t="n">
        <v>3.7</v>
      </c>
      <c r="I6" s="42" t="n">
        <v>3.5</v>
      </c>
      <c r="J6" s="42" t="n">
        <v>3.3</v>
      </c>
      <c r="K6" s="42" t="n">
        <v>3.1</v>
      </c>
      <c r="L6" s="42" t="n">
        <v>3</v>
      </c>
      <c r="M6" s="42" t="n">
        <v>2.8</v>
      </c>
      <c r="N6" s="42" t="n">
        <v>2.7</v>
      </c>
      <c r="O6" s="42" t="n">
        <v>2.5</v>
      </c>
      <c r="P6" s="42" t="n">
        <v>2.4</v>
      </c>
      <c r="Q6" s="42" t="n">
        <v>2.2</v>
      </c>
      <c r="R6" s="42" t="n">
        <v>2.1</v>
      </c>
      <c r="S6" s="42" t="n">
        <v>2</v>
      </c>
      <c r="T6" s="42" t="n">
        <v>1.8</v>
      </c>
      <c r="U6" s="42" t="n">
        <v>1.7</v>
      </c>
      <c r="V6" s="42" t="n">
        <v>1.6</v>
      </c>
      <c r="W6" s="42" t="n">
        <v>1.5</v>
      </c>
      <c r="X6" s="42" t="n">
        <v>1.5</v>
      </c>
      <c r="Y6" s="42" t="n">
        <v>1.3</v>
      </c>
      <c r="Z6" s="42" t="n">
        <v>1.2</v>
      </c>
      <c r="AA6" s="42" t="n">
        <v>1.1</v>
      </c>
      <c r="AB6" s="42" t="n">
        <v>1</v>
      </c>
      <c r="AC6" s="42" t="n">
        <v>1</v>
      </c>
      <c r="AD6" s="42" t="n">
        <v>0.8</v>
      </c>
      <c r="AE6" s="42" t="n">
        <v>0.7</v>
      </c>
      <c r="AF6" s="42" t="n">
        <v>0.6</v>
      </c>
      <c r="AG6" s="42" t="n">
        <v>0.6</v>
      </c>
      <c r="AH6" s="42" t="n">
        <v>0.5</v>
      </c>
      <c r="AI6" s="42" t="n">
        <v>0.4</v>
      </c>
      <c r="AJ6" s="42" t="n">
        <v>0.4</v>
      </c>
      <c r="AK6" s="42" t="n">
        <v>0.3</v>
      </c>
      <c r="AL6" s="42" t="n">
        <v>0.3</v>
      </c>
      <c r="AM6" s="42" t="n">
        <v>0.2</v>
      </c>
      <c r="AP6" s="37" t="inlineStr">
        <is>
          <t>基准年</t>
        </is>
      </c>
      <c r="AQ6" s="30" t="inlineStr">
        <is>
          <t>2024</t>
        </is>
      </c>
    </row>
    <row r="7" ht="17" customHeight="1">
      <c r="A7" s="40" t="inlineStr">
        <is>
          <t>实际GDP(2020价万亿)</t>
        </is>
      </c>
      <c r="B7" s="7" t="inlineStr">
        <is>
          <t>支出法GDP</t>
        </is>
      </c>
      <c r="C7" s="16" t="n">
        <v>124.92</v>
      </c>
      <c r="D7" s="16" t="n">
        <v>130.54</v>
      </c>
      <c r="E7" s="16" t="n">
        <v>135.627666872074</v>
      </c>
      <c r="F7" s="16" t="n">
        <v>140.913620508368</v>
      </c>
      <c r="G7" s="16" t="n">
        <v>146.405588938615</v>
      </c>
      <c r="H7" s="16" t="n">
        <v>152.111601384834</v>
      </c>
      <c r="I7" s="16" t="n">
        <v>158.04</v>
      </c>
      <c r="J7" s="16" t="n">
        <v>162.748904063458</v>
      </c>
      <c r="K7" s="16" t="n">
        <v>167.598112970493</v>
      </c>
      <c r="L7" s="16" t="n">
        <v>172.591807194706</v>
      </c>
      <c r="M7" s="16" t="n">
        <v>177.734291769616</v>
      </c>
      <c r="N7" s="16" t="n">
        <v>183.03</v>
      </c>
      <c r="O7" s="16" t="n">
        <v>187.130140285199</v>
      </c>
      <c r="P7" s="16" t="n">
        <v>191.322129722769</v>
      </c>
      <c r="Q7" s="16" t="n">
        <v>195.608025868354</v>
      </c>
      <c r="R7" s="16" t="n">
        <v>199.989932369863</v>
      </c>
      <c r="S7" s="16" t="n">
        <v>204.47</v>
      </c>
      <c r="T7" s="16" t="n">
        <v>207.272656009724</v>
      </c>
      <c r="U7" s="16" t="n">
        <v>210.113727829635</v>
      </c>
      <c r="V7" s="16" t="n">
        <v>212.993742022559</v>
      </c>
      <c r="W7" s="16" t="n">
        <v>215.913232368884</v>
      </c>
      <c r="X7" s="16" t="n">
        <v>218.872739965488</v>
      </c>
      <c r="Y7" s="16" t="n">
        <v>221.872813326025</v>
      </c>
      <c r="Z7" s="16" t="n">
        <v>224.914008482589</v>
      </c>
      <c r="AA7" s="16" t="n">
        <v>227.996889088765</v>
      </c>
      <c r="AB7" s="16" t="n">
        <v>231.1220265241</v>
      </c>
      <c r="AC7" s="16" t="n">
        <v>234.29</v>
      </c>
      <c r="AD7" s="16" t="n">
        <v>235.41536136499</v>
      </c>
      <c r="AE7" s="16" t="n">
        <v>236.546128160009</v>
      </c>
      <c r="AF7" s="16" t="n">
        <v>237.682326348874</v>
      </c>
      <c r="AG7" s="16" t="n">
        <v>238.82398202011</v>
      </c>
      <c r="AH7" s="16" t="n">
        <v>239.971121387554</v>
      </c>
      <c r="AI7" s="16" t="n">
        <v>241.123770790954</v>
      </c>
      <c r="AJ7" s="16" t="n">
        <v>242.281956696579</v>
      </c>
      <c r="AK7" s="16" t="n">
        <v>243.445705697818</v>
      </c>
      <c r="AL7" s="16" t="n">
        <v>244.6150445158</v>
      </c>
      <c r="AM7" s="16" t="n">
        <v>245.79</v>
      </c>
      <c r="AP7" s="37" t="inlineStr">
        <is>
          <t>粗钢产量(万吨)</t>
        </is>
      </c>
      <c r="AQ7" s="30" t="inlineStr">
        <is>
          <t>100,509</t>
        </is>
      </c>
    </row>
    <row r="8" ht="17" customHeight="1">
      <c r="A8" s="40" t="inlineStr">
        <is>
          <t>人口(亿人)</t>
        </is>
      </c>
      <c r="B8" s="7" t="inlineStr">
        <is>
          <t>联合国中位预测</t>
        </is>
      </c>
      <c r="C8" s="16" t="n">
        <v>14.08</v>
      </c>
      <c r="D8" s="16" t="n">
        <v>14.08</v>
      </c>
      <c r="E8" s="16" t="n">
        <v>14.0539034418663</v>
      </c>
      <c r="F8" s="16" t="n">
        <v>14.0278552523652</v>
      </c>
      <c r="G8" s="16" t="n">
        <v>14.0018553418479</v>
      </c>
      <c r="H8" s="16" t="n">
        <v>13.9759036208318</v>
      </c>
      <c r="I8" s="16" t="n">
        <v>13.95</v>
      </c>
      <c r="J8" s="16" t="n">
        <v>13.9097686160443</v>
      </c>
      <c r="K8" s="16" t="n">
        <v>13.8696532582</v>
      </c>
      <c r="L8" s="16" t="n">
        <v>13.8296535918514</v>
      </c>
      <c r="M8" s="16" t="n">
        <v>13.7897692833476</v>
      </c>
      <c r="N8" s="16" t="n">
        <v>13.75</v>
      </c>
      <c r="O8" s="16" t="n">
        <v>13.6996323454979</v>
      </c>
      <c r="P8" s="16" t="n">
        <v>13.6494491928591</v>
      </c>
      <c r="Q8" s="16" t="n">
        <v>13.5994498662344</v>
      </c>
      <c r="R8" s="16" t="n">
        <v>13.5496336922503</v>
      </c>
      <c r="S8" s="16" t="n">
        <v>13.5</v>
      </c>
      <c r="T8" s="16" t="n">
        <v>13.434592209784</v>
      </c>
      <c r="U8" s="16" t="n">
        <v>13.3695013217176</v>
      </c>
      <c r="V8" s="16" t="n">
        <v>13.3047258004033</v>
      </c>
      <c r="W8" s="16" t="n">
        <v>13.2402641178822</v>
      </c>
      <c r="X8" s="16" t="n">
        <v>13.1761147535987</v>
      </c>
      <c r="Y8" s="16" t="n">
        <v>13.1122761943641</v>
      </c>
      <c r="Z8" s="16" t="n">
        <v>13.0487469343215</v>
      </c>
      <c r="AA8" s="16" t="n">
        <v>12.9855254749095</v>
      </c>
      <c r="AB8" s="16" t="n">
        <v>12.9226103248274</v>
      </c>
      <c r="AC8" s="16" t="n">
        <v>12.86</v>
      </c>
      <c r="AD8" s="16" t="n">
        <v>12.7829557644941</v>
      </c>
      <c r="AE8" s="16" t="n">
        <v>12.7063731008563</v>
      </c>
      <c r="AF8" s="16" t="n">
        <v>12.6302492438105</v>
      </c>
      <c r="AG8" s="16" t="n">
        <v>12.5545814446473</v>
      </c>
      <c r="AH8" s="16" t="n">
        <v>12.4793669711248</v>
      </c>
      <c r="AI8" s="16" t="n">
        <v>12.4046031073698</v>
      </c>
      <c r="AJ8" s="16" t="n">
        <v>12.3302871537803</v>
      </c>
      <c r="AK8" s="16" t="n">
        <v>12.2564164269271</v>
      </c>
      <c r="AL8" s="16" t="n">
        <v>12.1829882594578</v>
      </c>
      <c r="AM8" s="16" t="n">
        <v>12.11</v>
      </c>
      <c r="AP8" s="37" t="inlineStr">
        <is>
          <t>碳排放总量(万吨CO2)</t>
        </is>
      </c>
      <c r="AQ8" s="30" t="inlineStr">
        <is>
          <t>195,992</t>
        </is>
      </c>
    </row>
    <row r="9" ht="17" customHeight="1">
      <c r="A9" s="40" t="inlineStr">
        <is>
          <t>全国CO2排放(亿吨)</t>
        </is>
      </c>
      <c r="B9" s="7" t="inlineStr">
        <is>
          <t>IFS-CGE模型</t>
        </is>
      </c>
      <c r="C9" s="16" t="n">
        <v>106.5</v>
      </c>
      <c r="D9" s="16" t="n">
        <v>108</v>
      </c>
      <c r="E9" s="16" t="n">
        <v>110</v>
      </c>
      <c r="F9" s="16" t="n">
        <v>112</v>
      </c>
      <c r="G9" s="16" t="n">
        <v>115</v>
      </c>
      <c r="H9" s="16" t="n">
        <v>117</v>
      </c>
      <c r="I9" s="16" t="n">
        <v>118</v>
      </c>
      <c r="J9" s="16" t="n">
        <v>117</v>
      </c>
      <c r="K9" s="16" t="n">
        <v>115.5</v>
      </c>
      <c r="L9" s="16" t="n">
        <v>113.5</v>
      </c>
      <c r="M9" s="16" t="n">
        <v>111</v>
      </c>
      <c r="N9" s="16" t="n">
        <v>109</v>
      </c>
      <c r="O9" s="16" t="n">
        <v>106.5</v>
      </c>
      <c r="P9" s="16" t="n">
        <v>103.5</v>
      </c>
      <c r="Q9" s="16" t="n">
        <v>100</v>
      </c>
      <c r="R9" s="16" t="n">
        <v>96</v>
      </c>
      <c r="S9" s="16" t="n">
        <v>92</v>
      </c>
      <c r="T9" s="16" t="n">
        <v>87.5</v>
      </c>
      <c r="U9" s="16" t="n">
        <v>83</v>
      </c>
      <c r="V9" s="16" t="n">
        <v>78.5</v>
      </c>
      <c r="W9" s="16" t="n">
        <v>74</v>
      </c>
      <c r="X9" s="16" t="n">
        <v>69.5</v>
      </c>
      <c r="Y9" s="16" t="n">
        <v>65</v>
      </c>
      <c r="Z9" s="16" t="n">
        <v>60.5</v>
      </c>
      <c r="AA9" s="16" t="n">
        <v>56</v>
      </c>
      <c r="AB9" s="16" t="n">
        <v>51.5</v>
      </c>
      <c r="AC9" s="16" t="n">
        <v>47</v>
      </c>
      <c r="AD9" s="16" t="n">
        <v>43</v>
      </c>
      <c r="AE9" s="16" t="n">
        <v>39</v>
      </c>
      <c r="AF9" s="16" t="n">
        <v>35.5</v>
      </c>
      <c r="AG9" s="16" t="n">
        <v>32</v>
      </c>
      <c r="AH9" s="16" t="n">
        <v>29</v>
      </c>
      <c r="AI9" s="16" t="n">
        <v>26.5</v>
      </c>
      <c r="AJ9" s="16" t="n">
        <v>24.5</v>
      </c>
      <c r="AK9" s="16" t="n">
        <v>23</v>
      </c>
      <c r="AL9" s="16" t="n">
        <v>22</v>
      </c>
      <c r="AM9" s="16" t="n">
        <v>21</v>
      </c>
      <c r="AP9" s="37" t="inlineStr">
        <is>
          <t>吨钢碳排放强度(tCO2/t)</t>
        </is>
      </c>
      <c r="AQ9" s="30" t="inlineStr">
        <is>
          <t>1.95</t>
        </is>
      </c>
    </row>
    <row r="10" ht="28" customHeight="1">
      <c r="A10" s="40" t="inlineStr">
        <is>
          <t>吨钢综合能耗(kgce/t)</t>
        </is>
      </c>
      <c r="B10" s="7" t="inlineStr">
        <is>
          <t>2025+1.9%: 产品结构调整+超低排放+入炉矿品位下降</t>
        </is>
      </c>
      <c r="C10" s="17" t="n">
        <v>1.85</v>
      </c>
      <c r="D10" s="17" t="n">
        <v>1.88515</v>
      </c>
      <c r="E10" s="17" t="n">
        <v>1.87572425</v>
      </c>
      <c r="F10" s="17" t="n">
        <v>1.860718456</v>
      </c>
      <c r="G10" s="17" t="n">
        <v>1.84211127144</v>
      </c>
      <c r="H10" s="17" t="n">
        <v>1.82000593618272</v>
      </c>
      <c r="I10" s="17" t="n">
        <v>1.79270584713998</v>
      </c>
      <c r="J10" s="17" t="n">
        <v>1.76581525943288</v>
      </c>
      <c r="K10" s="17" t="n">
        <v>1.73932803054139</v>
      </c>
      <c r="L10" s="17" t="n">
        <v>1.71323811008326</v>
      </c>
      <c r="M10" s="17" t="n">
        <v>1.68753953843202</v>
      </c>
      <c r="N10" s="17" t="n">
        <v>1.66222644535554</v>
      </c>
      <c r="O10" s="17" t="n">
        <v>1.64227972801127</v>
      </c>
      <c r="P10" s="17" t="n">
        <v>1.62257237127513</v>
      </c>
      <c r="Q10" s="17" t="n">
        <v>1.60310150281983</v>
      </c>
      <c r="R10" s="17" t="n">
        <v>1.58386428478599</v>
      </c>
      <c r="S10" s="17" t="n">
        <v>1.56802564193814</v>
      </c>
      <c r="T10" s="17" t="n">
        <v>1.55234538551875</v>
      </c>
      <c r="U10" s="17" t="n">
        <v>1.53682193166357</v>
      </c>
      <c r="V10" s="17" t="n">
        <v>1.52145371234693</v>
      </c>
      <c r="W10" s="17" t="n">
        <v>1.50928208264815</v>
      </c>
      <c r="X10" s="17" t="n">
        <v>1.49720782598697</v>
      </c>
      <c r="Y10" s="17" t="n">
        <v>1.48523016337907</v>
      </c>
      <c r="Z10" s="17" t="n">
        <v>1.47334832207204</v>
      </c>
      <c r="AA10" s="17" t="n">
        <v>1.46450823213961</v>
      </c>
      <c r="AB10" s="17" t="n">
        <v>1.45572118274677</v>
      </c>
      <c r="AC10" s="17" t="n">
        <v>1.44698685565029</v>
      </c>
      <c r="AD10" s="17" t="n">
        <v>1.43975192137204</v>
      </c>
      <c r="AE10" s="17" t="n">
        <v>1.43255316176518</v>
      </c>
      <c r="AF10" s="17" t="n">
        <v>1.42539039595635</v>
      </c>
      <c r="AG10" s="17" t="n">
        <v>1.41826344397657</v>
      </c>
      <c r="AH10" s="17" t="n">
        <v>1.41259039020066</v>
      </c>
      <c r="AI10" s="17" t="n">
        <v>1.40694002863986</v>
      </c>
      <c r="AJ10" s="17" t="n">
        <v>1.4013122685253</v>
      </c>
      <c r="AK10" s="17" t="n">
        <v>1.39710833171973</v>
      </c>
      <c r="AL10" s="17" t="n">
        <v>1.39291700672457</v>
      </c>
      <c r="AM10" s="17" t="n">
        <v>1.38873825570439</v>
      </c>
    </row>
    <row r="11" ht="17" customHeight="1">
      <c r="A11" s="2" t="inlineStr">
        <is>
          <t>吨钢综合能耗同比变化(%)</t>
        </is>
      </c>
      <c r="B11" s="7" t="inlineStr">
        <is>
          <t>国家统计局/中钢协数据</t>
        </is>
      </c>
      <c r="C11" s="42" t="n">
        <v>0</v>
      </c>
      <c r="D11" s="42" t="n">
        <v>1.9</v>
      </c>
      <c r="E11" s="42" t="n">
        <v>-0.5</v>
      </c>
      <c r="F11" s="42" t="n">
        <v>-0.8</v>
      </c>
      <c r="G11" s="42" t="n">
        <v>-1</v>
      </c>
      <c r="H11" s="42" t="n">
        <v>-1.2</v>
      </c>
      <c r="I11" s="42" t="n">
        <v>-1.5</v>
      </c>
      <c r="J11" s="42" t="n">
        <v>-1.5</v>
      </c>
      <c r="K11" s="42" t="n">
        <v>-1.5</v>
      </c>
      <c r="L11" s="42" t="n">
        <v>-1.5</v>
      </c>
      <c r="M11" s="42" t="n">
        <v>-1.5</v>
      </c>
      <c r="N11" s="42" t="n">
        <v>-1.5</v>
      </c>
      <c r="O11" s="42" t="n">
        <v>-1.2</v>
      </c>
      <c r="P11" s="42" t="n">
        <v>-1.2</v>
      </c>
      <c r="Q11" s="42" t="n">
        <v>-1.2</v>
      </c>
      <c r="R11" s="42" t="n">
        <v>-1.2</v>
      </c>
      <c r="S11" s="42" t="n">
        <v>-1</v>
      </c>
      <c r="T11" s="42" t="n">
        <v>-1</v>
      </c>
      <c r="U11" s="42" t="n">
        <v>-1</v>
      </c>
      <c r="V11" s="42" t="n">
        <v>-1</v>
      </c>
      <c r="W11" s="42" t="n">
        <v>-0.8</v>
      </c>
      <c r="X11" s="42" t="n">
        <v>-0.8</v>
      </c>
      <c r="Y11" s="42" t="n">
        <v>-0.8</v>
      </c>
      <c r="Z11" s="42" t="n">
        <v>-0.8</v>
      </c>
      <c r="AA11" s="42" t="n">
        <v>-0.6</v>
      </c>
      <c r="AB11" s="42" t="n">
        <v>-0.6</v>
      </c>
      <c r="AC11" s="42" t="n">
        <v>-0.6</v>
      </c>
      <c r="AD11" s="42" t="n">
        <v>-0.5</v>
      </c>
      <c r="AE11" s="42" t="n">
        <v>-0.5</v>
      </c>
      <c r="AF11" s="42" t="n">
        <v>-0.5</v>
      </c>
      <c r="AG11" s="42" t="n">
        <v>-0.5</v>
      </c>
      <c r="AH11" s="42" t="n">
        <v>-0.4</v>
      </c>
      <c r="AI11" s="42" t="n">
        <v>-0.4</v>
      </c>
      <c r="AJ11" s="42" t="n">
        <v>-0.4</v>
      </c>
      <c r="AK11" s="42" t="n">
        <v>-0.3</v>
      </c>
      <c r="AL11" s="42" t="n">
        <v>-0.3</v>
      </c>
      <c r="AM11" s="42" t="n">
        <v>-0.3</v>
      </c>
      <c r="AP11" s="40" t="inlineStr">
        <is>
          <t>---工艺参数---</t>
        </is>
      </c>
      <c r="AQ11" s="36" t="n"/>
    </row>
    <row r="12" ht="17.5" customHeight="1">
      <c r="A12" s="34" t="inlineStr">
        <is>
          <t>Step 3: 粗钢产量(万吨)</t>
        </is>
      </c>
      <c r="B12" s="35" t="n"/>
      <c r="C12" s="35" t="n"/>
      <c r="D12" s="35" t="n"/>
      <c r="E12" s="35" t="n"/>
      <c r="F12" s="35" t="n"/>
      <c r="G12" s="35" t="n"/>
      <c r="H12" s="35" t="n"/>
      <c r="I12" s="35" t="n"/>
      <c r="J12" s="35" t="n"/>
      <c r="K12" s="35" t="n"/>
      <c r="L12" s="35" t="n"/>
      <c r="M12" s="35" t="n"/>
      <c r="N12" s="35" t="n"/>
      <c r="O12" s="35" t="n"/>
      <c r="P12" s="35" t="n"/>
      <c r="Q12" s="35" t="n"/>
      <c r="R12" s="35" t="n"/>
      <c r="S12" s="35" t="n"/>
      <c r="T12" s="35" t="n"/>
      <c r="U12" s="35" t="n"/>
      <c r="V12" s="35" t="n"/>
      <c r="W12" s="35" t="n"/>
      <c r="X12" s="35" t="n"/>
      <c r="Y12" s="35" t="n"/>
      <c r="Z12" s="35" t="n"/>
      <c r="AA12" s="35" t="n"/>
      <c r="AB12" s="35" t="n"/>
      <c r="AC12" s="35" t="n"/>
      <c r="AD12" s="35" t="n"/>
      <c r="AE12" s="35" t="n"/>
      <c r="AF12" s="35" t="n"/>
      <c r="AG12" s="35" t="n"/>
      <c r="AH12" s="35" t="n"/>
      <c r="AI12" s="35" t="n"/>
      <c r="AJ12" s="35" t="n"/>
      <c r="AK12" s="35" t="n"/>
      <c r="AL12" s="35" t="n"/>
      <c r="AM12" s="36" t="n"/>
      <c r="AP12" s="37" t="inlineStr">
        <is>
          <t>长流程产量占比(%)</t>
        </is>
      </c>
      <c r="AQ12" s="30" t="inlineStr">
        <is>
          <t>89</t>
        </is>
      </c>
    </row>
    <row r="13" ht="17" customHeight="1">
      <c r="A13" s="40" t="inlineStr">
        <is>
          <t>粗钢产量(万吨)</t>
        </is>
      </c>
      <c r="B13" s="7" t="inlineStr">
        <is>
          <t>CAGR插值(三情景共用)</t>
        </is>
      </c>
      <c r="C13" s="18" t="n">
        <v>100509</v>
      </c>
      <c r="D13" s="18" t="n">
        <v>96081</v>
      </c>
      <c r="E13" s="18" t="n">
        <v>93000</v>
      </c>
      <c r="F13" s="18" t="n">
        <v>91000</v>
      </c>
      <c r="G13" s="18" t="n">
        <v>89000</v>
      </c>
      <c r="H13" s="18" t="n">
        <v>87000</v>
      </c>
      <c r="I13" s="18" t="n">
        <v>85000</v>
      </c>
      <c r="J13" s="18" t="n">
        <v>83500</v>
      </c>
      <c r="K13" s="18" t="n">
        <v>82000</v>
      </c>
      <c r="L13" s="18" t="n">
        <v>80800</v>
      </c>
      <c r="M13" s="18" t="n">
        <v>79600</v>
      </c>
      <c r="N13" s="18" t="n">
        <v>78500</v>
      </c>
      <c r="O13" s="18" t="n">
        <v>77500</v>
      </c>
      <c r="P13" s="18" t="n">
        <v>76500</v>
      </c>
      <c r="Q13" s="18" t="n">
        <v>75500</v>
      </c>
      <c r="R13" s="18" t="n">
        <v>74500</v>
      </c>
      <c r="S13" s="18" t="n">
        <v>73600</v>
      </c>
      <c r="T13" s="18" t="n">
        <v>72800</v>
      </c>
      <c r="U13" s="18" t="n">
        <v>72000</v>
      </c>
      <c r="V13" s="18" t="n">
        <v>71300</v>
      </c>
      <c r="W13" s="18" t="n">
        <v>70600</v>
      </c>
      <c r="X13" s="18" t="n">
        <v>69900</v>
      </c>
      <c r="Y13" s="18" t="n">
        <v>69300</v>
      </c>
      <c r="Z13" s="18" t="n">
        <v>68700</v>
      </c>
      <c r="AA13" s="18" t="n">
        <v>68200</v>
      </c>
      <c r="AB13" s="18" t="n">
        <v>67700</v>
      </c>
      <c r="AC13" s="18" t="n">
        <v>67200</v>
      </c>
      <c r="AD13" s="18" t="n">
        <v>66600</v>
      </c>
      <c r="AE13" s="18" t="n">
        <v>66000</v>
      </c>
      <c r="AF13" s="18" t="n">
        <v>65400</v>
      </c>
      <c r="AG13" s="18" t="n">
        <v>64800</v>
      </c>
      <c r="AH13" s="18" t="n">
        <v>64200</v>
      </c>
      <c r="AI13" s="18" t="n">
        <v>63600</v>
      </c>
      <c r="AJ13" s="18" t="n">
        <v>63000</v>
      </c>
      <c r="AK13" s="18" t="n">
        <v>62500</v>
      </c>
      <c r="AL13" s="18" t="n">
        <v>62000</v>
      </c>
      <c r="AM13" s="18" t="n">
        <v>61600</v>
      </c>
      <c r="AP13" s="37" t="inlineStr">
        <is>
          <t>短流程产量占比(%)</t>
        </is>
      </c>
      <c r="AQ13" s="30" t="inlineStr">
        <is>
          <t>10</t>
        </is>
      </c>
    </row>
    <row r="14" ht="17.5" customHeight="1">
      <c r="A14" s="34" t="inlineStr">
        <is>
          <t>Step 4: 流程结构</t>
        </is>
      </c>
      <c r="B14" s="35" t="n"/>
      <c r="C14" s="35" t="n"/>
      <c r="D14" s="35" t="n"/>
      <c r="E14" s="35" t="n"/>
      <c r="F14" s="35" t="n"/>
      <c r="G14" s="35" t="n"/>
      <c r="H14" s="35" t="n"/>
      <c r="I14" s="35" t="n"/>
      <c r="J14" s="35" t="n"/>
      <c r="K14" s="35" t="n"/>
      <c r="L14" s="35" t="n"/>
      <c r="M14" s="35" t="n"/>
      <c r="N14" s="35" t="n"/>
      <c r="O14" s="35" t="n"/>
      <c r="P14" s="35" t="n"/>
      <c r="Q14" s="35" t="n"/>
      <c r="R14" s="35" t="n"/>
      <c r="S14" s="35" t="n"/>
      <c r="T14" s="35" t="n"/>
      <c r="U14" s="35" t="n"/>
      <c r="V14" s="35" t="n"/>
      <c r="W14" s="35" t="n"/>
      <c r="X14" s="35" t="n"/>
      <c r="Y14" s="35" t="n"/>
      <c r="Z14" s="35" t="n"/>
      <c r="AA14" s="35" t="n"/>
      <c r="AB14" s="35" t="n"/>
      <c r="AC14" s="35" t="n"/>
      <c r="AD14" s="35" t="n"/>
      <c r="AE14" s="35" t="n"/>
      <c r="AF14" s="35" t="n"/>
      <c r="AG14" s="35" t="n"/>
      <c r="AH14" s="35" t="n"/>
      <c r="AI14" s="35" t="n"/>
      <c r="AJ14" s="35" t="n"/>
      <c r="AK14" s="35" t="n"/>
      <c r="AL14" s="35" t="n"/>
      <c r="AM14" s="36" t="n"/>
      <c r="AP14" s="37" t="inlineStr">
        <is>
          <t>氢冶金产量占比(%)</t>
        </is>
      </c>
      <c r="AQ14" s="30" t="inlineStr">
        <is>
          <t>1</t>
        </is>
      </c>
    </row>
    <row r="15" ht="17" customHeight="1">
      <c r="A15" s="40" t="inlineStr">
        <is>
          <t>短流程产量占比(%)</t>
        </is>
      </c>
      <c r="B15" s="7" t="inlineStr">
        <is>
          <t>二分法校准</t>
        </is>
      </c>
      <c r="C15" s="42" t="n">
        <v>10</v>
      </c>
      <c r="D15" s="42" t="n">
        <v>10.66666666666667</v>
      </c>
      <c r="E15" s="42" t="n">
        <v>11.33333333333333</v>
      </c>
      <c r="F15" s="42" t="n">
        <v>12</v>
      </c>
      <c r="G15" s="42" t="n">
        <v>12.66666666666667</v>
      </c>
      <c r="H15" s="42" t="n">
        <v>13.33333333333333</v>
      </c>
      <c r="I15" s="42" t="n">
        <v>14</v>
      </c>
      <c r="J15" s="42" t="n">
        <v>15.2</v>
      </c>
      <c r="K15" s="42" t="n">
        <v>16.4</v>
      </c>
      <c r="L15" s="42" t="n">
        <v>17.6</v>
      </c>
      <c r="M15" s="42" t="n">
        <v>18.8</v>
      </c>
      <c r="N15" s="42" t="n">
        <v>20</v>
      </c>
      <c r="O15" s="42" t="n">
        <v>21.6</v>
      </c>
      <c r="P15" s="42" t="n">
        <v>23.2</v>
      </c>
      <c r="Q15" s="42" t="n">
        <v>24.8</v>
      </c>
      <c r="R15" s="42" t="n">
        <v>26.4</v>
      </c>
      <c r="S15" s="42" t="n">
        <v>28</v>
      </c>
      <c r="T15" s="42" t="n">
        <v>29</v>
      </c>
      <c r="U15" s="42" t="n">
        <v>30</v>
      </c>
      <c r="V15" s="42" t="n">
        <v>31</v>
      </c>
      <c r="W15" s="42" t="n">
        <v>32</v>
      </c>
      <c r="X15" s="42" t="n">
        <v>33</v>
      </c>
      <c r="Y15" s="42" t="n">
        <v>34</v>
      </c>
      <c r="Z15" s="42" t="n">
        <v>35</v>
      </c>
      <c r="AA15" s="42" t="n">
        <v>36</v>
      </c>
      <c r="AB15" s="42" t="n">
        <v>37</v>
      </c>
      <c r="AC15" s="42" t="n">
        <v>38</v>
      </c>
      <c r="AD15" s="42" t="n">
        <v>39</v>
      </c>
      <c r="AE15" s="42" t="n">
        <v>40</v>
      </c>
      <c r="AF15" s="42" t="n">
        <v>41</v>
      </c>
      <c r="AG15" s="42" t="n">
        <v>42</v>
      </c>
      <c r="AH15" s="42" t="n">
        <v>43</v>
      </c>
      <c r="AI15" s="42" t="n">
        <v>44</v>
      </c>
      <c r="AJ15" s="42" t="n">
        <v>45</v>
      </c>
      <c r="AK15" s="42" t="n">
        <v>46</v>
      </c>
      <c r="AL15" s="42" t="n">
        <v>47</v>
      </c>
      <c r="AM15" s="42" t="n">
        <v>48</v>
      </c>
    </row>
    <row r="16" ht="17" customHeight="1">
      <c r="A16" s="40" t="inlineStr">
        <is>
          <t>氢冶金产量占比(%)</t>
        </is>
      </c>
      <c r="B16" s="7" t="inlineStr">
        <is>
          <t>情景差异化</t>
        </is>
      </c>
      <c r="C16" s="17" t="n">
        <v>1</v>
      </c>
      <c r="D16" s="17" t="n">
        <v>1.166666666666667</v>
      </c>
      <c r="E16" s="17" t="n">
        <v>1.333333333333333</v>
      </c>
      <c r="F16" s="17" t="n">
        <v>1.5</v>
      </c>
      <c r="G16" s="17" t="n">
        <v>1.666666666666667</v>
      </c>
      <c r="H16" s="17" t="n">
        <v>1.833333333333333</v>
      </c>
      <c r="I16" s="17" t="n">
        <v>2</v>
      </c>
      <c r="J16" s="17" t="n">
        <v>2.4</v>
      </c>
      <c r="K16" s="17" t="n">
        <v>2.8</v>
      </c>
      <c r="L16" s="17" t="n">
        <v>3.2</v>
      </c>
      <c r="M16" s="17" t="n">
        <v>3.6</v>
      </c>
      <c r="N16" s="17" t="n">
        <v>4</v>
      </c>
      <c r="O16" s="17" t="n">
        <v>4.8</v>
      </c>
      <c r="P16" s="17" t="n">
        <v>5.6</v>
      </c>
      <c r="Q16" s="17" t="n">
        <v>6.4</v>
      </c>
      <c r="R16" s="17" t="n">
        <v>7.2</v>
      </c>
      <c r="S16" s="17" t="n">
        <v>8</v>
      </c>
      <c r="T16" s="17" t="n">
        <v>8.6</v>
      </c>
      <c r="U16" s="17" t="n">
        <v>9.199999999999999</v>
      </c>
      <c r="V16" s="17" t="n">
        <v>9.800000000000001</v>
      </c>
      <c r="W16" s="17" t="n">
        <v>10.4</v>
      </c>
      <c r="X16" s="17" t="n">
        <v>11</v>
      </c>
      <c r="Y16" s="17" t="n">
        <v>11.6</v>
      </c>
      <c r="Z16" s="17" t="n">
        <v>12.2</v>
      </c>
      <c r="AA16" s="17" t="n">
        <v>12.8</v>
      </c>
      <c r="AB16" s="17" t="n">
        <v>13.4</v>
      </c>
      <c r="AC16" s="17" t="n">
        <v>14</v>
      </c>
      <c r="AD16" s="17" t="n">
        <v>14.4</v>
      </c>
      <c r="AE16" s="17" t="n">
        <v>14.8</v>
      </c>
      <c r="AF16" s="17" t="n">
        <v>15.2</v>
      </c>
      <c r="AG16" s="17" t="n">
        <v>15.6</v>
      </c>
      <c r="AH16" s="17" t="n">
        <v>16</v>
      </c>
      <c r="AI16" s="17" t="n">
        <v>16.4</v>
      </c>
      <c r="AJ16" s="17" t="n">
        <v>16.8</v>
      </c>
      <c r="AK16" s="17" t="n">
        <v>17.2</v>
      </c>
      <c r="AL16" s="17" t="n">
        <v>17.6</v>
      </c>
      <c r="AM16" s="17" t="n">
        <v>18</v>
      </c>
      <c r="AP16" s="37" t="inlineStr">
        <is>
          <t>吨钢耗废钢量</t>
        </is>
      </c>
      <c r="AQ16" s="30" t="inlineStr">
        <is>
          <t>1.1</t>
        </is>
      </c>
    </row>
    <row r="17" ht="17" customHeight="1">
      <c r="A17" s="40" t="inlineStr">
        <is>
          <t>长流程产量占比(%)</t>
        </is>
      </c>
      <c r="B17" s="7">
        <f>1-短流程%-氢冶金%</f>
        <v/>
      </c>
      <c r="C17" s="43">
        <f>1-C15/100-C16/100</f>
        <v/>
      </c>
      <c r="D17" s="43">
        <f>1-D15/100-D16/100</f>
        <v/>
      </c>
      <c r="E17" s="43">
        <f>1-E15/100-E16/100</f>
        <v/>
      </c>
      <c r="F17" s="43">
        <f>1-F15/100-F16/100</f>
        <v/>
      </c>
      <c r="G17" s="43">
        <f>1-G15/100-G16/100</f>
        <v/>
      </c>
      <c r="H17" s="43">
        <f>1-H15/100-H16/100</f>
        <v/>
      </c>
      <c r="I17" s="43">
        <f>1-I15/100-I16/100</f>
        <v/>
      </c>
      <c r="J17" s="43">
        <f>1-J15/100-J16/100</f>
        <v/>
      </c>
      <c r="K17" s="43">
        <f>1-K15/100-K16/100</f>
        <v/>
      </c>
      <c r="L17" s="43">
        <f>1-L15/100-L16/100</f>
        <v/>
      </c>
      <c r="M17" s="43">
        <f>1-M15/100-M16/100</f>
        <v/>
      </c>
      <c r="N17" s="43">
        <f>1-N15/100-N16/100</f>
        <v/>
      </c>
      <c r="O17" s="43">
        <f>1-O15/100-O16/100</f>
        <v/>
      </c>
      <c r="P17" s="43">
        <f>1-P15/100-P16/100</f>
        <v/>
      </c>
      <c r="Q17" s="43">
        <f>1-Q15/100-Q16/100</f>
        <v/>
      </c>
      <c r="R17" s="43">
        <f>1-R15/100-R16/100</f>
        <v/>
      </c>
      <c r="S17" s="43">
        <f>1-S15/100-S16/100</f>
        <v/>
      </c>
      <c r="T17" s="43">
        <f>1-T15/100-T16/100</f>
        <v/>
      </c>
      <c r="U17" s="43">
        <f>1-U15/100-U16/100</f>
        <v/>
      </c>
      <c r="V17" s="43">
        <f>1-V15/100-V16/100</f>
        <v/>
      </c>
      <c r="W17" s="43">
        <f>1-W15/100-W16/100</f>
        <v/>
      </c>
      <c r="X17" s="43">
        <f>1-X15/100-X16/100</f>
        <v/>
      </c>
      <c r="Y17" s="43">
        <f>1-Y15/100-Y16/100</f>
        <v/>
      </c>
      <c r="Z17" s="43">
        <f>1-Z15/100-Z16/100</f>
        <v/>
      </c>
      <c r="AA17" s="43">
        <f>1-AA15/100-AA16/100</f>
        <v/>
      </c>
      <c r="AB17" s="43">
        <f>1-AB15/100-AB16/100</f>
        <v/>
      </c>
      <c r="AC17" s="43">
        <f>1-AC15/100-AC16/100</f>
        <v/>
      </c>
      <c r="AD17" s="43">
        <f>1-AD15/100-AD16/100</f>
        <v/>
      </c>
      <c r="AE17" s="43">
        <f>1-AE15/100-AE16/100</f>
        <v/>
      </c>
      <c r="AF17" s="43">
        <f>1-AF15/100-AF16/100</f>
        <v/>
      </c>
      <c r="AG17" s="43">
        <f>1-AG15/100-AG16/100</f>
        <v/>
      </c>
      <c r="AH17" s="43">
        <f>1-AH15/100-AH16/100</f>
        <v/>
      </c>
      <c r="AI17" s="43">
        <f>1-AI15/100-AI16/100</f>
        <v/>
      </c>
      <c r="AJ17" s="43">
        <f>1-AJ15/100-AJ16/100</f>
        <v/>
      </c>
      <c r="AK17" s="43">
        <f>1-AK15/100-AK16/100</f>
        <v/>
      </c>
      <c r="AL17" s="43">
        <f>1-AL15/100-AL16/100</f>
        <v/>
      </c>
      <c r="AM17" s="43">
        <f>1-AM15/100-AM16/100</f>
        <v/>
      </c>
      <c r="AP17" s="37" t="inlineStr">
        <is>
          <t>吨钢耗铁水量</t>
        </is>
      </c>
      <c r="AQ17" s="30" t="inlineStr">
        <is>
          <t>1.053</t>
        </is>
      </c>
    </row>
    <row r="18" ht="17" customHeight="1">
      <c r="A18" s="2" t="inlineStr">
        <is>
          <t>长流程产量(万吨)</t>
        </is>
      </c>
      <c r="B18" s="7">
        <f>长流程产量公式</f>
        <v/>
      </c>
      <c r="C18" s="20">
        <f>C13*C17</f>
        <v/>
      </c>
      <c r="D18" s="20">
        <f>D13*D17</f>
        <v/>
      </c>
      <c r="E18" s="20">
        <f>E13*E17</f>
        <v/>
      </c>
      <c r="F18" s="20">
        <f>F13*F17</f>
        <v/>
      </c>
      <c r="G18" s="20">
        <f>G13*G17</f>
        <v/>
      </c>
      <c r="H18" s="20">
        <f>H13*H17</f>
        <v/>
      </c>
      <c r="I18" s="20">
        <f>I13*I17</f>
        <v/>
      </c>
      <c r="J18" s="20">
        <f>J13*J17</f>
        <v/>
      </c>
      <c r="K18" s="20">
        <f>K13*K17</f>
        <v/>
      </c>
      <c r="L18" s="20">
        <f>L13*L17</f>
        <v/>
      </c>
      <c r="M18" s="20">
        <f>M13*M17</f>
        <v/>
      </c>
      <c r="N18" s="20">
        <f>N13*N17</f>
        <v/>
      </c>
      <c r="O18" s="20">
        <f>O13*O17</f>
        <v/>
      </c>
      <c r="P18" s="20">
        <f>P13*P17</f>
        <v/>
      </c>
      <c r="Q18" s="20">
        <f>Q13*Q17</f>
        <v/>
      </c>
      <c r="R18" s="20">
        <f>R13*R17</f>
        <v/>
      </c>
      <c r="S18" s="20">
        <f>S13*S17</f>
        <v/>
      </c>
      <c r="T18" s="20">
        <f>T13*T17</f>
        <v/>
      </c>
      <c r="U18" s="20">
        <f>U13*U17</f>
        <v/>
      </c>
      <c r="V18" s="20">
        <f>V13*V17</f>
        <v/>
      </c>
      <c r="W18" s="20">
        <f>W13*W17</f>
        <v/>
      </c>
      <c r="X18" s="20">
        <f>X13*X17</f>
        <v/>
      </c>
      <c r="Y18" s="20">
        <f>Y13*Y17</f>
        <v/>
      </c>
      <c r="Z18" s="20">
        <f>Z13*Z17</f>
        <v/>
      </c>
      <c r="AA18" s="20">
        <f>AA13*AA17</f>
        <v/>
      </c>
      <c r="AB18" s="20">
        <f>AB13*AB17</f>
        <v/>
      </c>
      <c r="AC18" s="20">
        <f>AC13*AC17</f>
        <v/>
      </c>
      <c r="AD18" s="20">
        <f>AD13*AD17</f>
        <v/>
      </c>
      <c r="AE18" s="20">
        <f>AE13*AE17</f>
        <v/>
      </c>
      <c r="AF18" s="20">
        <f>AF13*AF17</f>
        <v/>
      </c>
      <c r="AG18" s="20">
        <f>AG13*AG17</f>
        <v/>
      </c>
      <c r="AH18" s="20">
        <f>AH13*AH17</f>
        <v/>
      </c>
      <c r="AI18" s="20">
        <f>AI13*AI17</f>
        <v/>
      </c>
      <c r="AJ18" s="20">
        <f>AJ13*AJ17</f>
        <v/>
      </c>
      <c r="AK18" s="20">
        <f>AK13*AK17</f>
        <v/>
      </c>
      <c r="AL18" s="20">
        <f>AL13*AL17</f>
        <v/>
      </c>
      <c r="AM18" s="20">
        <f>AM13*AM17</f>
        <v/>
      </c>
      <c r="AP18" s="37" t="inlineStr">
        <is>
          <t>吨铁水耗铁矿石量</t>
        </is>
      </c>
      <c r="AQ18" s="30" t="inlineStr">
        <is>
          <t>1.65</t>
        </is>
      </c>
    </row>
    <row r="19" ht="17" customHeight="1">
      <c r="A19" s="2" t="inlineStr">
        <is>
          <t>短流程产量(万吨)</t>
        </is>
      </c>
      <c r="B19" s="7">
        <f>短流程产量公式</f>
        <v/>
      </c>
      <c r="C19" s="20">
        <f>C13*C15/100</f>
        <v/>
      </c>
      <c r="D19" s="20">
        <f>D13*D15/100</f>
        <v/>
      </c>
      <c r="E19" s="20">
        <f>E13*E15/100</f>
        <v/>
      </c>
      <c r="F19" s="20">
        <f>F13*F15/100</f>
        <v/>
      </c>
      <c r="G19" s="20">
        <f>G13*G15/100</f>
        <v/>
      </c>
      <c r="H19" s="20">
        <f>H13*H15/100</f>
        <v/>
      </c>
      <c r="I19" s="20">
        <f>I13*I15/100</f>
        <v/>
      </c>
      <c r="J19" s="20">
        <f>J13*J15/100</f>
        <v/>
      </c>
      <c r="K19" s="20">
        <f>K13*K15/100</f>
        <v/>
      </c>
      <c r="L19" s="20">
        <f>L13*L15/100</f>
        <v/>
      </c>
      <c r="M19" s="20">
        <f>M13*M15/100</f>
        <v/>
      </c>
      <c r="N19" s="20">
        <f>N13*N15/100</f>
        <v/>
      </c>
      <c r="O19" s="20">
        <f>O13*O15/100</f>
        <v/>
      </c>
      <c r="P19" s="20">
        <f>P13*P15/100</f>
        <v/>
      </c>
      <c r="Q19" s="20">
        <f>Q13*Q15/100</f>
        <v/>
      </c>
      <c r="R19" s="20">
        <f>R13*R15/100</f>
        <v/>
      </c>
      <c r="S19" s="20">
        <f>S13*S15/100</f>
        <v/>
      </c>
      <c r="T19" s="20">
        <f>T13*T15/100</f>
        <v/>
      </c>
      <c r="U19" s="20">
        <f>U13*U15/100</f>
        <v/>
      </c>
      <c r="V19" s="20">
        <f>V13*V15/100</f>
        <v/>
      </c>
      <c r="W19" s="20">
        <f>W13*W15/100</f>
        <v/>
      </c>
      <c r="X19" s="20">
        <f>X13*X15/100</f>
        <v/>
      </c>
      <c r="Y19" s="20">
        <f>Y13*Y15/100</f>
        <v/>
      </c>
      <c r="Z19" s="20">
        <f>Z13*Z15/100</f>
        <v/>
      </c>
      <c r="AA19" s="20">
        <f>AA13*AA15/100</f>
        <v/>
      </c>
      <c r="AB19" s="20">
        <f>AB13*AB15/100</f>
        <v/>
      </c>
      <c r="AC19" s="20">
        <f>AC13*AC15/100</f>
        <v/>
      </c>
      <c r="AD19" s="20">
        <f>AD13*AD15/100</f>
        <v/>
      </c>
      <c r="AE19" s="20">
        <f>AE13*AE15/100</f>
        <v/>
      </c>
      <c r="AF19" s="20">
        <f>AF13*AF15/100</f>
        <v/>
      </c>
      <c r="AG19" s="20">
        <f>AG13*AG15/100</f>
        <v/>
      </c>
      <c r="AH19" s="20">
        <f>AH13*AH15/100</f>
        <v/>
      </c>
      <c r="AI19" s="20">
        <f>AI13*AI15/100</f>
        <v/>
      </c>
      <c r="AJ19" s="20">
        <f>AJ13*AJ15/100</f>
        <v/>
      </c>
      <c r="AK19" s="20">
        <f>AK13*AK15/100</f>
        <v/>
      </c>
      <c r="AL19" s="20">
        <f>AL13*AL15/100</f>
        <v/>
      </c>
      <c r="AM19" s="20">
        <f>AM13*AM15/100</f>
        <v/>
      </c>
    </row>
    <row r="20" ht="17" customHeight="1">
      <c r="A20" s="2" t="inlineStr">
        <is>
          <t>氢冶金产量(万吨)</t>
        </is>
      </c>
      <c r="B20" s="7">
        <f>氢冶金产量公式</f>
        <v/>
      </c>
      <c r="C20" s="20">
        <f>C13*C16/100</f>
        <v/>
      </c>
      <c r="D20" s="20">
        <f>D13*D16/100</f>
        <v/>
      </c>
      <c r="E20" s="20">
        <f>E13*E16/100</f>
        <v/>
      </c>
      <c r="F20" s="20">
        <f>F13*F16/100</f>
        <v/>
      </c>
      <c r="G20" s="20">
        <f>G13*G16/100</f>
        <v/>
      </c>
      <c r="H20" s="20">
        <f>H13*H16/100</f>
        <v/>
      </c>
      <c r="I20" s="20">
        <f>I13*I16/100</f>
        <v/>
      </c>
      <c r="J20" s="20">
        <f>J13*J16/100</f>
        <v/>
      </c>
      <c r="K20" s="20">
        <f>K13*K16/100</f>
        <v/>
      </c>
      <c r="L20" s="20">
        <f>L13*L16/100</f>
        <v/>
      </c>
      <c r="M20" s="20">
        <f>M13*M16/100</f>
        <v/>
      </c>
      <c r="N20" s="20">
        <f>N13*N16/100</f>
        <v/>
      </c>
      <c r="O20" s="20">
        <f>O13*O16/100</f>
        <v/>
      </c>
      <c r="P20" s="20">
        <f>P13*P16/100</f>
        <v/>
      </c>
      <c r="Q20" s="20">
        <f>Q13*Q16/100</f>
        <v/>
      </c>
      <c r="R20" s="20">
        <f>R13*R16/100</f>
        <v/>
      </c>
      <c r="S20" s="20">
        <f>S13*S16/100</f>
        <v/>
      </c>
      <c r="T20" s="20">
        <f>T13*T16/100</f>
        <v/>
      </c>
      <c r="U20" s="20">
        <f>U13*U16/100</f>
        <v/>
      </c>
      <c r="V20" s="20">
        <f>V13*V16/100</f>
        <v/>
      </c>
      <c r="W20" s="20">
        <f>W13*W16/100</f>
        <v/>
      </c>
      <c r="X20" s="20">
        <f>X13*X16/100</f>
        <v/>
      </c>
      <c r="Y20" s="20">
        <f>Y13*Y16/100</f>
        <v/>
      </c>
      <c r="Z20" s="20">
        <f>Z13*Z16/100</f>
        <v/>
      </c>
      <c r="AA20" s="20">
        <f>AA13*AA16/100</f>
        <v/>
      </c>
      <c r="AB20" s="20">
        <f>AB13*AB16/100</f>
        <v/>
      </c>
      <c r="AC20" s="20">
        <f>AC13*AC16/100</f>
        <v/>
      </c>
      <c r="AD20" s="20">
        <f>AD13*AD16/100</f>
        <v/>
      </c>
      <c r="AE20" s="20">
        <f>AE13*AE16/100</f>
        <v/>
      </c>
      <c r="AF20" s="20">
        <f>AF13*AF16/100</f>
        <v/>
      </c>
      <c r="AG20" s="20">
        <f>AG13*AG16/100</f>
        <v/>
      </c>
      <c r="AH20" s="20">
        <f>AH13*AH16/100</f>
        <v/>
      </c>
      <c r="AI20" s="20">
        <f>AI13*AI16/100</f>
        <v/>
      </c>
      <c r="AJ20" s="20">
        <f>AJ13*AJ16/100</f>
        <v/>
      </c>
      <c r="AK20" s="20">
        <f>AK13*AK16/100</f>
        <v/>
      </c>
      <c r="AL20" s="20">
        <f>AL13*AL16/100</f>
        <v/>
      </c>
      <c r="AM20" s="20">
        <f>AM13*AM16/100</f>
        <v/>
      </c>
      <c r="AP20" s="37" t="inlineStr">
        <is>
          <t>BF-BOF碳排放强度</t>
        </is>
      </c>
      <c r="AQ20" s="30" t="inlineStr">
        <is>
          <t>1.80 tCO2/t</t>
        </is>
      </c>
    </row>
    <row r="21" ht="17.5" customHeight="1">
      <c r="A21" s="34" t="inlineStr">
        <is>
          <t>Step 5: 铁素资源结构</t>
        </is>
      </c>
      <c r="B21" s="35" t="n"/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6" t="n"/>
      <c r="AP21" s="37" t="inlineStr">
        <is>
          <t>Scrap-EAF碳排放强度</t>
        </is>
      </c>
      <c r="AQ21" s="30" t="inlineStr">
        <is>
          <t>0.45 tCO2/t</t>
        </is>
      </c>
    </row>
    <row r="22" ht="28" customHeight="1">
      <c r="A22" s="7" t="inlineStr">
        <is>
          <t>废钢资源量参考(万吨/年)</t>
        </is>
      </c>
      <c r="B22" s="7" t="inlineStr">
        <is>
          <t>崔志峰等(2023): 2045峰值约5亿吨, 2050年4.7-5.2亿吨</t>
        </is>
      </c>
      <c r="C22" s="21" t="n">
        <v>28820</v>
      </c>
      <c r="D22" s="21" t="n">
        <v>28219</v>
      </c>
      <c r="E22" s="21" t="n">
        <v>29961</v>
      </c>
      <c r="F22" s="21" t="n">
        <v>29382</v>
      </c>
      <c r="G22" s="21" t="n">
        <v>29386</v>
      </c>
      <c r="H22" s="21" t="n">
        <v>28778</v>
      </c>
      <c r="I22" s="21" t="n">
        <v>32732</v>
      </c>
      <c r="J22" s="21" t="n">
        <v>34435</v>
      </c>
      <c r="K22" s="21" t="n">
        <v>36658</v>
      </c>
      <c r="L22" s="21" t="n">
        <v>37830</v>
      </c>
      <c r="M22" s="21" t="n">
        <v>40503</v>
      </c>
      <c r="N22" s="21" t="n">
        <v>41237</v>
      </c>
      <c r="O22" s="21" t="n">
        <v>39624</v>
      </c>
      <c r="P22" s="21" t="n">
        <v>40341</v>
      </c>
      <c r="Q22" s="21" t="n">
        <v>43408</v>
      </c>
      <c r="R22" s="21" t="n">
        <v>48723</v>
      </c>
      <c r="S22" s="21" t="n">
        <v>49139</v>
      </c>
      <c r="T22" s="21" t="n">
        <v>53056</v>
      </c>
      <c r="U22" s="21" t="n">
        <v>53442</v>
      </c>
      <c r="V22" s="21" t="n">
        <v>57694</v>
      </c>
      <c r="W22" s="21" t="n">
        <v>56770</v>
      </c>
      <c r="X22" s="21" t="n">
        <v>57761</v>
      </c>
      <c r="Y22" s="21" t="n">
        <v>58218</v>
      </c>
      <c r="Z22" s="21" t="n">
        <v>58413</v>
      </c>
      <c r="AA22" s="21" t="n">
        <v>58398</v>
      </c>
      <c r="AB22" s="21" t="n">
        <v>58423</v>
      </c>
      <c r="AC22" s="21" t="n">
        <v>58294</v>
      </c>
      <c r="AD22" s="21" t="n">
        <v>57964</v>
      </c>
      <c r="AE22" s="21" t="n">
        <v>57618</v>
      </c>
      <c r="AF22" s="21" t="n">
        <v>58042</v>
      </c>
      <c r="AG22" s="21" t="n">
        <v>57652</v>
      </c>
      <c r="AH22" s="21" t="n">
        <v>58167</v>
      </c>
      <c r="AI22" s="21" t="n">
        <v>56985</v>
      </c>
      <c r="AJ22" s="21" t="n">
        <v>55820</v>
      </c>
      <c r="AK22" s="21" t="n">
        <v>54753</v>
      </c>
      <c r="AL22" s="21" t="n">
        <v>53677</v>
      </c>
      <c r="AM22" s="21" t="n">
        <v>52611</v>
      </c>
      <c r="AP22" s="37" t="inlineStr">
        <is>
          <t>DRI-EAF碳排放强度</t>
        </is>
      </c>
      <c r="AQ22" s="30" t="inlineStr">
        <is>
          <t>1.65 tCO2/t</t>
        </is>
      </c>
    </row>
    <row r="23" ht="17" customHeight="1">
      <c r="A23" s="2" t="inlineStr">
        <is>
          <t>长流程废钢消耗量(万吨)</t>
        </is>
      </c>
      <c r="B23" s="7" t="inlineStr">
        <is>
          <t>铁素资源公式</t>
        </is>
      </c>
      <c r="C23" s="20">
        <f>C18*0.3</f>
        <v/>
      </c>
      <c r="D23" s="20">
        <f>D18*0.3</f>
        <v/>
      </c>
      <c r="E23" s="20">
        <f>E18*0.3</f>
        <v/>
      </c>
      <c r="F23" s="20">
        <f>F18*0.3</f>
        <v/>
      </c>
      <c r="G23" s="20">
        <f>G18*0.3</f>
        <v/>
      </c>
      <c r="H23" s="20">
        <f>H18*0.3</f>
        <v/>
      </c>
      <c r="I23" s="20">
        <f>I18*0.3</f>
        <v/>
      </c>
      <c r="J23" s="20">
        <f>J18*0.3</f>
        <v/>
      </c>
      <c r="K23" s="20">
        <f>K18*0.3</f>
        <v/>
      </c>
      <c r="L23" s="20">
        <f>L18*0.3</f>
        <v/>
      </c>
      <c r="M23" s="20">
        <f>M18*0.3</f>
        <v/>
      </c>
      <c r="N23" s="20">
        <f>N18*0.3</f>
        <v/>
      </c>
      <c r="O23" s="20">
        <f>O18*0.3</f>
        <v/>
      </c>
      <c r="P23" s="20">
        <f>P18*0.3</f>
        <v/>
      </c>
      <c r="Q23" s="20">
        <f>Q18*0.3</f>
        <v/>
      </c>
      <c r="R23" s="20">
        <f>R18*0.3</f>
        <v/>
      </c>
      <c r="S23" s="20">
        <f>S18*0.3</f>
        <v/>
      </c>
      <c r="T23" s="20">
        <f>T18*0.3</f>
        <v/>
      </c>
      <c r="U23" s="20">
        <f>U18*0.3</f>
        <v/>
      </c>
      <c r="V23" s="20">
        <f>V18*0.3</f>
        <v/>
      </c>
      <c r="W23" s="20">
        <f>W18*0.3</f>
        <v/>
      </c>
      <c r="X23" s="20">
        <f>X18*0.3</f>
        <v/>
      </c>
      <c r="Y23" s="20">
        <f>Y18*0.3</f>
        <v/>
      </c>
      <c r="Z23" s="20">
        <f>Z18*0.3</f>
        <v/>
      </c>
      <c r="AA23" s="20">
        <f>AA18*0.3</f>
        <v/>
      </c>
      <c r="AB23" s="20">
        <f>AB18*0.3</f>
        <v/>
      </c>
      <c r="AC23" s="20">
        <f>AC18*0.3</f>
        <v/>
      </c>
      <c r="AD23" s="20">
        <f>AD18*0.3</f>
        <v/>
      </c>
      <c r="AE23" s="20">
        <f>AE18*0.3</f>
        <v/>
      </c>
      <c r="AF23" s="20">
        <f>AF18*0.3</f>
        <v/>
      </c>
      <c r="AG23" s="20">
        <f>AG18*0.3</f>
        <v/>
      </c>
      <c r="AH23" s="20">
        <f>AH18*0.3</f>
        <v/>
      </c>
      <c r="AI23" s="20">
        <f>AI18*0.3</f>
        <v/>
      </c>
      <c r="AJ23" s="20">
        <f>AJ18*0.3</f>
        <v/>
      </c>
      <c r="AK23" s="20">
        <f>AK18*0.3</f>
        <v/>
      </c>
      <c r="AL23" s="20">
        <f>AL18*0.3</f>
        <v/>
      </c>
      <c r="AM23" s="20">
        <f>AM18*0.3</f>
        <v/>
      </c>
      <c r="AP23" s="37" t="inlineStr">
        <is>
          <t>铁水碳排放强度</t>
        </is>
      </c>
      <c r="AQ23" s="30" t="inlineStr">
        <is>
          <t>1.26 tCO2/t</t>
        </is>
      </c>
    </row>
    <row r="24" ht="17" customHeight="1">
      <c r="A24" s="2" t="inlineStr">
        <is>
          <t>长流程矿石消耗量(万吨)</t>
        </is>
      </c>
      <c r="B24" s="7" t="inlineStr">
        <is>
          <t>铁素资源公式</t>
        </is>
      </c>
      <c r="C24" s="20">
        <f>(C18-C23/1.1)*1.053*1.65</f>
        <v/>
      </c>
      <c r="D24" s="20">
        <f>(D18-D23/1.1)*1.053*1.65</f>
        <v/>
      </c>
      <c r="E24" s="20">
        <f>(E18-E23/1.1)*1.053*1.65</f>
        <v/>
      </c>
      <c r="F24" s="20">
        <f>(F18-F23/1.1)*1.053*1.65</f>
        <v/>
      </c>
      <c r="G24" s="20">
        <f>(G18-G23/1.1)*1.053*1.65</f>
        <v/>
      </c>
      <c r="H24" s="20">
        <f>(H18-H23/1.1)*1.053*1.65</f>
        <v/>
      </c>
      <c r="I24" s="20">
        <f>(I18-I23/1.1)*1.053*1.65</f>
        <v/>
      </c>
      <c r="J24" s="20">
        <f>(J18-J23/1.1)*1.053*1.65</f>
        <v/>
      </c>
      <c r="K24" s="20">
        <f>(K18-K23/1.1)*1.053*1.65</f>
        <v/>
      </c>
      <c r="L24" s="20">
        <f>(L18-L23/1.1)*1.053*1.65</f>
        <v/>
      </c>
      <c r="M24" s="20">
        <f>(M18-M23/1.1)*1.053*1.65</f>
        <v/>
      </c>
      <c r="N24" s="20">
        <f>(N18-N23/1.1)*1.053*1.65</f>
        <v/>
      </c>
      <c r="O24" s="20">
        <f>(O18-O23/1.1)*1.053*1.65</f>
        <v/>
      </c>
      <c r="P24" s="20">
        <f>(P18-P23/1.1)*1.053*1.65</f>
        <v/>
      </c>
      <c r="Q24" s="20">
        <f>(Q18-Q23/1.1)*1.053*1.65</f>
        <v/>
      </c>
      <c r="R24" s="20">
        <f>(R18-R23/1.1)*1.053*1.65</f>
        <v/>
      </c>
      <c r="S24" s="20">
        <f>(S18-S23/1.1)*1.053*1.65</f>
        <v/>
      </c>
      <c r="T24" s="20">
        <f>(T18-T23/1.1)*1.053*1.65</f>
        <v/>
      </c>
      <c r="U24" s="20">
        <f>(U18-U23/1.1)*1.053*1.65</f>
        <v/>
      </c>
      <c r="V24" s="20">
        <f>(V18-V23/1.1)*1.053*1.65</f>
        <v/>
      </c>
      <c r="W24" s="20">
        <f>(W18-W23/1.1)*1.053*1.65</f>
        <v/>
      </c>
      <c r="X24" s="20">
        <f>(X18-X23/1.1)*1.053*1.65</f>
        <v/>
      </c>
      <c r="Y24" s="20">
        <f>(Y18-Y23/1.1)*1.053*1.65</f>
        <v/>
      </c>
      <c r="Z24" s="20">
        <f>(Z18-Z23/1.1)*1.053*1.65</f>
        <v/>
      </c>
      <c r="AA24" s="20">
        <f>(AA18-AA23/1.1)*1.053*1.65</f>
        <v/>
      </c>
      <c r="AB24" s="20">
        <f>(AB18-AB23/1.1)*1.053*1.65</f>
        <v/>
      </c>
      <c r="AC24" s="20">
        <f>(AC18-AC23/1.1)*1.053*1.65</f>
        <v/>
      </c>
      <c r="AD24" s="20">
        <f>(AD18-AD23/1.1)*1.053*1.65</f>
        <v/>
      </c>
      <c r="AE24" s="20">
        <f>(AE18-AE23/1.1)*1.053*1.65</f>
        <v/>
      </c>
      <c r="AF24" s="20">
        <f>(AF18-AF23/1.1)*1.053*1.65</f>
        <v/>
      </c>
      <c r="AG24" s="20">
        <f>(AG18-AG23/1.1)*1.053*1.65</f>
        <v/>
      </c>
      <c r="AH24" s="20">
        <f>(AH18-AH23/1.1)*1.053*1.65</f>
        <v/>
      </c>
      <c r="AI24" s="20">
        <f>(AI18-AI23/1.1)*1.053*1.65</f>
        <v/>
      </c>
      <c r="AJ24" s="20">
        <f>(AJ18-AJ23/1.1)*1.053*1.65</f>
        <v/>
      </c>
      <c r="AK24" s="20">
        <f>(AK18-AK23/1.1)*1.053*1.65</f>
        <v/>
      </c>
      <c r="AL24" s="20">
        <f>(AL18-AL23/1.1)*1.053*1.65</f>
        <v/>
      </c>
      <c r="AM24" s="20">
        <f>(AM18-AM23/1.1)*1.053*1.65</f>
        <v/>
      </c>
    </row>
    <row r="25" ht="17" customHeight="1">
      <c r="A25" s="2" t="inlineStr">
        <is>
          <t>短流程废钢消耗量(万吨)</t>
        </is>
      </c>
      <c r="B25" s="7" t="inlineStr">
        <is>
          <t>铁素资源公式</t>
        </is>
      </c>
      <c r="C25" s="20">
        <f>C19*1.1</f>
        <v/>
      </c>
      <c r="D25" s="20">
        <f>D19*1.1</f>
        <v/>
      </c>
      <c r="E25" s="20">
        <f>E19*1.1</f>
        <v/>
      </c>
      <c r="F25" s="20">
        <f>F19*1.1</f>
        <v/>
      </c>
      <c r="G25" s="20">
        <f>G19*1.1</f>
        <v/>
      </c>
      <c r="H25" s="20">
        <f>H19*1.1</f>
        <v/>
      </c>
      <c r="I25" s="20">
        <f>I19*1.1</f>
        <v/>
      </c>
      <c r="J25" s="20">
        <f>J19*1.1</f>
        <v/>
      </c>
      <c r="K25" s="20">
        <f>K19*1.1</f>
        <v/>
      </c>
      <c r="L25" s="20">
        <f>L19*1.1</f>
        <v/>
      </c>
      <c r="M25" s="20">
        <f>M19*1.1</f>
        <v/>
      </c>
      <c r="N25" s="20">
        <f>N19*1.1</f>
        <v/>
      </c>
      <c r="O25" s="20">
        <f>O19*1.1</f>
        <v/>
      </c>
      <c r="P25" s="20">
        <f>P19*1.1</f>
        <v/>
      </c>
      <c r="Q25" s="20">
        <f>Q19*1.1</f>
        <v/>
      </c>
      <c r="R25" s="20">
        <f>R19*1.1</f>
        <v/>
      </c>
      <c r="S25" s="20">
        <f>S19*1.1</f>
        <v/>
      </c>
      <c r="T25" s="20">
        <f>T19*1.1</f>
        <v/>
      </c>
      <c r="U25" s="20">
        <f>U19*1.1</f>
        <v/>
      </c>
      <c r="V25" s="20">
        <f>V19*1.1</f>
        <v/>
      </c>
      <c r="W25" s="20">
        <f>W19*1.1</f>
        <v/>
      </c>
      <c r="X25" s="20">
        <f>X19*1.1</f>
        <v/>
      </c>
      <c r="Y25" s="20">
        <f>Y19*1.1</f>
        <v/>
      </c>
      <c r="Z25" s="20">
        <f>Z19*1.1</f>
        <v/>
      </c>
      <c r="AA25" s="20">
        <f>AA19*1.1</f>
        <v/>
      </c>
      <c r="AB25" s="20">
        <f>AB19*1.1</f>
        <v/>
      </c>
      <c r="AC25" s="20">
        <f>AC19*1.1</f>
        <v/>
      </c>
      <c r="AD25" s="20">
        <f>AD19*1.1</f>
        <v/>
      </c>
      <c r="AE25" s="20">
        <f>AE19*1.1</f>
        <v/>
      </c>
      <c r="AF25" s="20">
        <f>AF19*1.1</f>
        <v/>
      </c>
      <c r="AG25" s="20">
        <f>AG19*1.1</f>
        <v/>
      </c>
      <c r="AH25" s="20">
        <f>AH19*1.1</f>
        <v/>
      </c>
      <c r="AI25" s="20">
        <f>AI19*1.1</f>
        <v/>
      </c>
      <c r="AJ25" s="20">
        <f>AJ19*1.1</f>
        <v/>
      </c>
      <c r="AK25" s="20">
        <f>AK19*1.1</f>
        <v/>
      </c>
      <c r="AL25" s="20">
        <f>AL19*1.1</f>
        <v/>
      </c>
      <c r="AM25" s="20">
        <f>AM19*1.1</f>
        <v/>
      </c>
      <c r="AP25" s="40" t="inlineStr">
        <is>
          <t>---电力参数---</t>
        </is>
      </c>
      <c r="AQ25" s="36" t="n"/>
    </row>
    <row r="26" ht="17" customHeight="1">
      <c r="A26" s="2" t="inlineStr">
        <is>
          <t>氢冶金废钢消耗量(万吨)</t>
        </is>
      </c>
      <c r="B26" s="7" t="inlineStr">
        <is>
          <t>铁素资源公式</t>
        </is>
      </c>
      <c r="C26" s="20">
        <f>C20*0.5</f>
        <v/>
      </c>
      <c r="D26" s="20">
        <f>D20*0.5</f>
        <v/>
      </c>
      <c r="E26" s="20">
        <f>E20*0.5</f>
        <v/>
      </c>
      <c r="F26" s="20">
        <f>F20*0.5</f>
        <v/>
      </c>
      <c r="G26" s="20">
        <f>G20*0.5</f>
        <v/>
      </c>
      <c r="H26" s="20">
        <f>H20*0.5</f>
        <v/>
      </c>
      <c r="I26" s="20">
        <f>I20*0.5</f>
        <v/>
      </c>
      <c r="J26" s="20">
        <f>J20*0.5</f>
        <v/>
      </c>
      <c r="K26" s="20">
        <f>K20*0.5</f>
        <v/>
      </c>
      <c r="L26" s="20">
        <f>L20*0.5</f>
        <v/>
      </c>
      <c r="M26" s="20">
        <f>M20*0.5</f>
        <v/>
      </c>
      <c r="N26" s="20">
        <f>N20*0.5</f>
        <v/>
      </c>
      <c r="O26" s="20">
        <f>O20*0.5</f>
        <v/>
      </c>
      <c r="P26" s="20">
        <f>P20*0.5</f>
        <v/>
      </c>
      <c r="Q26" s="20">
        <f>Q20*0.5</f>
        <v/>
      </c>
      <c r="R26" s="20">
        <f>R20*0.5</f>
        <v/>
      </c>
      <c r="S26" s="20">
        <f>S20*0.5</f>
        <v/>
      </c>
      <c r="T26" s="20">
        <f>T20*0.5</f>
        <v/>
      </c>
      <c r="U26" s="20">
        <f>U20*0.5</f>
        <v/>
      </c>
      <c r="V26" s="20">
        <f>V20*0.5</f>
        <v/>
      </c>
      <c r="W26" s="20">
        <f>W20*0.5</f>
        <v/>
      </c>
      <c r="X26" s="20">
        <f>X20*0.5</f>
        <v/>
      </c>
      <c r="Y26" s="20">
        <f>Y20*0.5</f>
        <v/>
      </c>
      <c r="Z26" s="20">
        <f>Z20*0.5</f>
        <v/>
      </c>
      <c r="AA26" s="20">
        <f>AA20*0.5</f>
        <v/>
      </c>
      <c r="AB26" s="20">
        <f>AB20*0.5</f>
        <v/>
      </c>
      <c r="AC26" s="20">
        <f>AC20*0.5</f>
        <v/>
      </c>
      <c r="AD26" s="20">
        <f>AD20*0.5</f>
        <v/>
      </c>
      <c r="AE26" s="20">
        <f>AE20*0.5</f>
        <v/>
      </c>
      <c r="AF26" s="20">
        <f>AF20*0.5</f>
        <v/>
      </c>
      <c r="AG26" s="20">
        <f>AG20*0.5</f>
        <v/>
      </c>
      <c r="AH26" s="20">
        <f>AH20*0.5</f>
        <v/>
      </c>
      <c r="AI26" s="20">
        <f>AI20*0.5</f>
        <v/>
      </c>
      <c r="AJ26" s="20">
        <f>AJ20*0.5</f>
        <v/>
      </c>
      <c r="AK26" s="20">
        <f>AK20*0.5</f>
        <v/>
      </c>
      <c r="AL26" s="20">
        <f>AL20*0.5</f>
        <v/>
      </c>
      <c r="AM26" s="20">
        <f>AM20*0.5</f>
        <v/>
      </c>
      <c r="AP26" s="37" t="inlineStr">
        <is>
          <t>电网因子(kgCO2/kWh)</t>
        </is>
      </c>
      <c r="AQ26" s="30" t="inlineStr">
        <is>
          <t>0.5306</t>
        </is>
      </c>
    </row>
    <row r="27" ht="17" customHeight="1">
      <c r="A27" s="2" t="inlineStr">
        <is>
          <t>氢冶金矿石消耗量(万吨)</t>
        </is>
      </c>
      <c r="B27" s="7" t="inlineStr">
        <is>
          <t>铁素资源公式</t>
        </is>
      </c>
      <c r="C27" s="20">
        <f>(C20-C26/1.1)*1.053*1.65</f>
        <v/>
      </c>
      <c r="D27" s="20">
        <f>(D20-D26/1.1)*1.053*1.65</f>
        <v/>
      </c>
      <c r="E27" s="20">
        <f>(E20-E26/1.1)*1.053*1.65</f>
        <v/>
      </c>
      <c r="F27" s="20">
        <f>(F20-F26/1.1)*1.053*1.65</f>
        <v/>
      </c>
      <c r="G27" s="20">
        <f>(G20-G26/1.1)*1.053*1.65</f>
        <v/>
      </c>
      <c r="H27" s="20">
        <f>(H20-H26/1.1)*1.053*1.65</f>
        <v/>
      </c>
      <c r="I27" s="20">
        <f>(I20-I26/1.1)*1.053*1.65</f>
        <v/>
      </c>
      <c r="J27" s="20">
        <f>(J20-J26/1.1)*1.053*1.65</f>
        <v/>
      </c>
      <c r="K27" s="20">
        <f>(K20-K26/1.1)*1.053*1.65</f>
        <v/>
      </c>
      <c r="L27" s="20">
        <f>(L20-L26/1.1)*1.053*1.65</f>
        <v/>
      </c>
      <c r="M27" s="20">
        <f>(M20-M26/1.1)*1.053*1.65</f>
        <v/>
      </c>
      <c r="N27" s="20">
        <f>(N20-N26/1.1)*1.053*1.65</f>
        <v/>
      </c>
      <c r="O27" s="20">
        <f>(O20-O26/1.1)*1.053*1.65</f>
        <v/>
      </c>
      <c r="P27" s="20">
        <f>(P20-P26/1.1)*1.053*1.65</f>
        <v/>
      </c>
      <c r="Q27" s="20">
        <f>(Q20-Q26/1.1)*1.053*1.65</f>
        <v/>
      </c>
      <c r="R27" s="20">
        <f>(R20-R26/1.1)*1.053*1.65</f>
        <v/>
      </c>
      <c r="S27" s="20">
        <f>(S20-S26/1.1)*1.053*1.65</f>
        <v/>
      </c>
      <c r="T27" s="20">
        <f>(T20-T26/1.1)*1.053*1.65</f>
        <v/>
      </c>
      <c r="U27" s="20">
        <f>(U20-U26/1.1)*1.053*1.65</f>
        <v/>
      </c>
      <c r="V27" s="20">
        <f>(V20-V26/1.1)*1.053*1.65</f>
        <v/>
      </c>
      <c r="W27" s="20">
        <f>(W20-W26/1.1)*1.053*1.65</f>
        <v/>
      </c>
      <c r="X27" s="20">
        <f>(X20-X26/1.1)*1.053*1.65</f>
        <v/>
      </c>
      <c r="Y27" s="20">
        <f>(Y20-Y26/1.1)*1.053*1.65</f>
        <v/>
      </c>
      <c r="Z27" s="20">
        <f>(Z20-Z26/1.1)*1.053*1.65</f>
        <v/>
      </c>
      <c r="AA27" s="20">
        <f>(AA20-AA26/1.1)*1.053*1.65</f>
        <v/>
      </c>
      <c r="AB27" s="20">
        <f>(AB20-AB26/1.1)*1.053*1.65</f>
        <v/>
      </c>
      <c r="AC27" s="20">
        <f>(AC20-AC26/1.1)*1.053*1.65</f>
        <v/>
      </c>
      <c r="AD27" s="20">
        <f>(AD20-AD26/1.1)*1.053*1.65</f>
        <v/>
      </c>
      <c r="AE27" s="20">
        <f>(AE20-AE26/1.1)*1.053*1.65</f>
        <v/>
      </c>
      <c r="AF27" s="20">
        <f>(AF20-AF26/1.1)*1.053*1.65</f>
        <v/>
      </c>
      <c r="AG27" s="20">
        <f>(AG20-AG26/1.1)*1.053*1.65</f>
        <v/>
      </c>
      <c r="AH27" s="20">
        <f>(AH20-AH26/1.1)*1.053*1.65</f>
        <v/>
      </c>
      <c r="AI27" s="20">
        <f>(AI20-AI26/1.1)*1.053*1.65</f>
        <v/>
      </c>
      <c r="AJ27" s="20">
        <f>(AJ20-AJ26/1.1)*1.053*1.65</f>
        <v/>
      </c>
      <c r="AK27" s="20">
        <f>(AK20-AK26/1.1)*1.053*1.65</f>
        <v/>
      </c>
      <c r="AL27" s="20">
        <f>(AL20-AL26/1.1)*1.053*1.65</f>
        <v/>
      </c>
      <c r="AM27" s="20">
        <f>(AM20-AM26/1.1)*1.053*1.65</f>
        <v/>
      </c>
    </row>
    <row r="28" ht="17" customHeight="1">
      <c r="A28" s="4" t="inlineStr">
        <is>
          <t>废钢消耗总量(万吨)</t>
        </is>
      </c>
      <c r="B28" s="7" t="inlineStr">
        <is>
          <t>铁素资源公式</t>
        </is>
      </c>
      <c r="C28" s="22">
        <f>C23+C25+C26</f>
        <v/>
      </c>
      <c r="D28" s="22">
        <f>D23+D25+D26</f>
        <v/>
      </c>
      <c r="E28" s="22">
        <f>E23+E25+E26</f>
        <v/>
      </c>
      <c r="F28" s="22">
        <f>F23+F25+F26</f>
        <v/>
      </c>
      <c r="G28" s="22">
        <f>G23+G25+G26</f>
        <v/>
      </c>
      <c r="H28" s="22">
        <f>H23+H25+H26</f>
        <v/>
      </c>
      <c r="I28" s="22">
        <f>I23+I25+I26</f>
        <v/>
      </c>
      <c r="J28" s="22">
        <f>J23+J25+J26</f>
        <v/>
      </c>
      <c r="K28" s="22">
        <f>K23+K25+K26</f>
        <v/>
      </c>
      <c r="L28" s="22">
        <f>L23+L25+L26</f>
        <v/>
      </c>
      <c r="M28" s="22">
        <f>M23+M25+M26</f>
        <v/>
      </c>
      <c r="N28" s="22">
        <f>N23+N25+N26</f>
        <v/>
      </c>
      <c r="O28" s="22">
        <f>O23+O25+O26</f>
        <v/>
      </c>
      <c r="P28" s="22">
        <f>P23+P25+P26</f>
        <v/>
      </c>
      <c r="Q28" s="22">
        <f>Q23+Q25+Q26</f>
        <v/>
      </c>
      <c r="R28" s="22">
        <f>R23+R25+R26</f>
        <v/>
      </c>
      <c r="S28" s="22">
        <f>S23+S25+S26</f>
        <v/>
      </c>
      <c r="T28" s="22">
        <f>T23+T25+T26</f>
        <v/>
      </c>
      <c r="U28" s="22">
        <f>U23+U25+U26</f>
        <v/>
      </c>
      <c r="V28" s="22">
        <f>V23+V25+V26</f>
        <v/>
      </c>
      <c r="W28" s="22">
        <f>W23+W25+W26</f>
        <v/>
      </c>
      <c r="X28" s="22">
        <f>X23+X25+X26</f>
        <v/>
      </c>
      <c r="Y28" s="22">
        <f>Y23+Y25+Y26</f>
        <v/>
      </c>
      <c r="Z28" s="22">
        <f>Z23+Z25+Z26</f>
        <v/>
      </c>
      <c r="AA28" s="22">
        <f>AA23+AA25+AA26</f>
        <v/>
      </c>
      <c r="AB28" s="22">
        <f>AB23+AB25+AB26</f>
        <v/>
      </c>
      <c r="AC28" s="22">
        <f>AC23+AC25+AC26</f>
        <v/>
      </c>
      <c r="AD28" s="22">
        <f>AD23+AD25+AD26</f>
        <v/>
      </c>
      <c r="AE28" s="22">
        <f>AE23+AE25+AE26</f>
        <v/>
      </c>
      <c r="AF28" s="22">
        <f>AF23+AF25+AF26</f>
        <v/>
      </c>
      <c r="AG28" s="22">
        <f>AG23+AG25+AG26</f>
        <v/>
      </c>
      <c r="AH28" s="22">
        <f>AH23+AH25+AH26</f>
        <v/>
      </c>
      <c r="AI28" s="22">
        <f>AI23+AI25+AI26</f>
        <v/>
      </c>
      <c r="AJ28" s="22">
        <f>AJ23+AJ25+AJ26</f>
        <v/>
      </c>
      <c r="AK28" s="22">
        <f>AK23+AK25+AK26</f>
        <v/>
      </c>
      <c r="AL28" s="22">
        <f>AL23+AL25+AL26</f>
        <v/>
      </c>
      <c r="AM28" s="22">
        <f>AM23+AM25+AM26</f>
        <v/>
      </c>
      <c r="AP28" s="37" t="inlineStr">
        <is>
          <t>BF-BOF耗电(kWh/t)</t>
        </is>
      </c>
      <c r="AQ28" s="30" t="inlineStr">
        <is>
          <t>450</t>
        </is>
      </c>
    </row>
    <row r="29" ht="17" customHeight="1">
      <c r="A29" s="4" t="inlineStr">
        <is>
          <t>矿石消耗总量(万吨)</t>
        </is>
      </c>
      <c r="B29" s="7" t="inlineStr">
        <is>
          <t>铁素资源公式</t>
        </is>
      </c>
      <c r="C29" s="22">
        <f>C24+C27</f>
        <v/>
      </c>
      <c r="D29" s="22">
        <f>D24+D27</f>
        <v/>
      </c>
      <c r="E29" s="22">
        <f>E24+E27</f>
        <v/>
      </c>
      <c r="F29" s="22">
        <f>F24+F27</f>
        <v/>
      </c>
      <c r="G29" s="22">
        <f>G24+G27</f>
        <v/>
      </c>
      <c r="H29" s="22">
        <f>H24+H27</f>
        <v/>
      </c>
      <c r="I29" s="22">
        <f>I24+I27</f>
        <v/>
      </c>
      <c r="J29" s="22">
        <f>J24+J27</f>
        <v/>
      </c>
      <c r="K29" s="22">
        <f>K24+K27</f>
        <v/>
      </c>
      <c r="L29" s="22">
        <f>L24+L27</f>
        <v/>
      </c>
      <c r="M29" s="22">
        <f>M24+M27</f>
        <v/>
      </c>
      <c r="N29" s="22">
        <f>N24+N27</f>
        <v/>
      </c>
      <c r="O29" s="22">
        <f>O24+O27</f>
        <v/>
      </c>
      <c r="P29" s="22">
        <f>P24+P27</f>
        <v/>
      </c>
      <c r="Q29" s="22">
        <f>Q24+Q27</f>
        <v/>
      </c>
      <c r="R29" s="22">
        <f>R24+R27</f>
        <v/>
      </c>
      <c r="S29" s="22">
        <f>S24+S27</f>
        <v/>
      </c>
      <c r="T29" s="22">
        <f>T24+T27</f>
        <v/>
      </c>
      <c r="U29" s="22">
        <f>U24+U27</f>
        <v/>
      </c>
      <c r="V29" s="22">
        <f>V24+V27</f>
        <v/>
      </c>
      <c r="W29" s="22">
        <f>W24+W27</f>
        <v/>
      </c>
      <c r="X29" s="22">
        <f>X24+X27</f>
        <v/>
      </c>
      <c r="Y29" s="22">
        <f>Y24+Y27</f>
        <v/>
      </c>
      <c r="Z29" s="22">
        <f>Z24+Z27</f>
        <v/>
      </c>
      <c r="AA29" s="22">
        <f>AA24+AA27</f>
        <v/>
      </c>
      <c r="AB29" s="22">
        <f>AB24+AB27</f>
        <v/>
      </c>
      <c r="AC29" s="22">
        <f>AC24+AC27</f>
        <v/>
      </c>
      <c r="AD29" s="22">
        <f>AD24+AD27</f>
        <v/>
      </c>
      <c r="AE29" s="22">
        <f>AE24+AE27</f>
        <v/>
      </c>
      <c r="AF29" s="22">
        <f>AF24+AF27</f>
        <v/>
      </c>
      <c r="AG29" s="22">
        <f>AG24+AG27</f>
        <v/>
      </c>
      <c r="AH29" s="22">
        <f>AH24+AH27</f>
        <v/>
      </c>
      <c r="AI29" s="22">
        <f>AI24+AI27</f>
        <v/>
      </c>
      <c r="AJ29" s="22">
        <f>AJ24+AJ27</f>
        <v/>
      </c>
      <c r="AK29" s="22">
        <f>AK24+AK27</f>
        <v/>
      </c>
      <c r="AL29" s="22">
        <f>AL24+AL27</f>
        <v/>
      </c>
      <c r="AM29" s="22">
        <f>AM24+AM27</f>
        <v/>
      </c>
      <c r="AP29" s="37" t="inlineStr">
        <is>
          <t>Scrap-EAF耗电(kWh/t)</t>
        </is>
      </c>
      <c r="AQ29" s="30" t="inlineStr">
        <is>
          <t>550</t>
        </is>
      </c>
    </row>
    <row r="30" ht="17.5" customHeight="1">
      <c r="A30" s="34" t="inlineStr">
        <is>
          <t>Step 6: 电力结构</t>
        </is>
      </c>
      <c r="B30" s="35" t="n"/>
      <c r="C30" s="35" t="n"/>
      <c r="D30" s="35" t="n"/>
      <c r="E30" s="35" t="n"/>
      <c r="F30" s="35" t="n"/>
      <c r="G30" s="35" t="n"/>
      <c r="H30" s="35" t="n"/>
      <c r="I30" s="35" t="n"/>
      <c r="J30" s="35" t="n"/>
      <c r="K30" s="35" t="n"/>
      <c r="L30" s="35" t="n"/>
      <c r="M30" s="35" t="n"/>
      <c r="N30" s="35" t="n"/>
      <c r="O30" s="35" t="n"/>
      <c r="P30" s="35" t="n"/>
      <c r="Q30" s="35" t="n"/>
      <c r="R30" s="35" t="n"/>
      <c r="S30" s="35" t="n"/>
      <c r="T30" s="35" t="n"/>
      <c r="U30" s="35" t="n"/>
      <c r="V30" s="35" t="n"/>
      <c r="W30" s="35" t="n"/>
      <c r="X30" s="35" t="n"/>
      <c r="Y30" s="35" t="n"/>
      <c r="Z30" s="35" t="n"/>
      <c r="AA30" s="35" t="n"/>
      <c r="AB30" s="35" t="n"/>
      <c r="AC30" s="35" t="n"/>
      <c r="AD30" s="35" t="n"/>
      <c r="AE30" s="35" t="n"/>
      <c r="AF30" s="35" t="n"/>
      <c r="AG30" s="35" t="n"/>
      <c r="AH30" s="35" t="n"/>
      <c r="AI30" s="35" t="n"/>
      <c r="AJ30" s="35" t="n"/>
      <c r="AK30" s="35" t="n"/>
      <c r="AL30" s="35" t="n"/>
      <c r="AM30" s="36" t="n"/>
      <c r="AP30" s="37" t="inlineStr">
        <is>
          <t>DRI-EAF耗电(kWh/t)</t>
        </is>
      </c>
      <c r="AQ30" s="30" t="inlineStr">
        <is>
          <t>500</t>
        </is>
      </c>
    </row>
    <row r="31" ht="17" customHeight="1">
      <c r="A31" s="2" t="inlineStr">
        <is>
          <t>总耗电量(万kWh)</t>
        </is>
      </c>
      <c r="B31" s="7" t="inlineStr">
        <is>
          <t>电力结构公式</t>
        </is>
      </c>
      <c r="C31" s="20">
        <f>C18*450+C19*550+C20*500</f>
        <v/>
      </c>
      <c r="D31" s="20">
        <f>D18*450+D19*550+D20*500</f>
        <v/>
      </c>
      <c r="E31" s="20">
        <f>E18*450+E19*550+E20*500</f>
        <v/>
      </c>
      <c r="F31" s="20">
        <f>F18*450+F19*550+F20*500</f>
        <v/>
      </c>
      <c r="G31" s="20">
        <f>G18*450+G19*550+G20*500</f>
        <v/>
      </c>
      <c r="H31" s="20">
        <f>H18*450+H19*550+H20*500</f>
        <v/>
      </c>
      <c r="I31" s="20">
        <f>I18*450+I19*550+I20*500</f>
        <v/>
      </c>
      <c r="J31" s="20">
        <f>J18*450+J19*550+J20*500</f>
        <v/>
      </c>
      <c r="K31" s="20">
        <f>K18*450+K19*550+K20*500</f>
        <v/>
      </c>
      <c r="L31" s="20">
        <f>L18*450+L19*550+L20*500</f>
        <v/>
      </c>
      <c r="M31" s="20">
        <f>M18*450+M19*550+M20*500</f>
        <v/>
      </c>
      <c r="N31" s="20">
        <f>N18*450+N19*550+N20*500</f>
        <v/>
      </c>
      <c r="O31" s="20">
        <f>O18*450+O19*550+O20*500</f>
        <v/>
      </c>
      <c r="P31" s="20">
        <f>P18*450+P19*550+P20*500</f>
        <v/>
      </c>
      <c r="Q31" s="20">
        <f>Q18*450+Q19*550+Q20*500</f>
        <v/>
      </c>
      <c r="R31" s="20">
        <f>R18*450+R19*550+R20*500</f>
        <v/>
      </c>
      <c r="S31" s="20">
        <f>S18*450+S19*550+S20*500</f>
        <v/>
      </c>
      <c r="T31" s="20">
        <f>T18*450+T19*550+T20*500</f>
        <v/>
      </c>
      <c r="U31" s="20">
        <f>U18*450+U19*550+U20*500</f>
        <v/>
      </c>
      <c r="V31" s="20">
        <f>V18*450+V19*550+V20*500</f>
        <v/>
      </c>
      <c r="W31" s="20">
        <f>W18*450+W19*550+W20*500</f>
        <v/>
      </c>
      <c r="X31" s="20">
        <f>X18*450+X19*550+X20*500</f>
        <v/>
      </c>
      <c r="Y31" s="20">
        <f>Y18*450+Y19*550+Y20*500</f>
        <v/>
      </c>
      <c r="Z31" s="20">
        <f>Z18*450+Z19*550+Z20*500</f>
        <v/>
      </c>
      <c r="AA31" s="20">
        <f>AA18*450+AA19*550+AA20*500</f>
        <v/>
      </c>
      <c r="AB31" s="20">
        <f>AB18*450+AB19*550+AB20*500</f>
        <v/>
      </c>
      <c r="AC31" s="20">
        <f>AC18*450+AC19*550+AC20*500</f>
        <v/>
      </c>
      <c r="AD31" s="20">
        <f>AD18*450+AD19*550+AD20*500</f>
        <v/>
      </c>
      <c r="AE31" s="20">
        <f>AE18*450+AE19*550+AE20*500</f>
        <v/>
      </c>
      <c r="AF31" s="20">
        <f>AF18*450+AF19*550+AF20*500</f>
        <v/>
      </c>
      <c r="AG31" s="20">
        <f>AG18*450+AG19*550+AG20*500</f>
        <v/>
      </c>
      <c r="AH31" s="20">
        <f>AH18*450+AH19*550+AH20*500</f>
        <v/>
      </c>
      <c r="AI31" s="20">
        <f>AI18*450+AI19*550+AI20*500</f>
        <v/>
      </c>
      <c r="AJ31" s="20">
        <f>AJ18*450+AJ19*550+AJ20*500</f>
        <v/>
      </c>
      <c r="AK31" s="20">
        <f>AK18*450+AK19*550+AK20*500</f>
        <v/>
      </c>
      <c r="AL31" s="20">
        <f>AL18*450+AL19*550+AL20*500</f>
        <v/>
      </c>
      <c r="AM31" s="20">
        <f>AM18*450+AM19*550+AM20*500</f>
        <v/>
      </c>
    </row>
    <row r="32" ht="17" customHeight="1">
      <c r="A32" s="2" t="inlineStr">
        <is>
          <t>绿电占比</t>
        </is>
      </c>
      <c r="B32" s="7" t="inlineStr">
        <is>
          <t>电力结构公式</t>
        </is>
      </c>
      <c r="C32" s="44" t="n">
        <v>0</v>
      </c>
      <c r="D32" s="44" t="n">
        <v>0.03333333333333333</v>
      </c>
      <c r="E32" s="44" t="n">
        <v>0.06666666666666667</v>
      </c>
      <c r="F32" s="44" t="n">
        <v>0.1</v>
      </c>
      <c r="G32" s="44" t="n">
        <v>0.1333333333333333</v>
      </c>
      <c r="H32" s="44" t="n">
        <v>0.1666666666666667</v>
      </c>
      <c r="I32" s="44" t="n">
        <v>0.2</v>
      </c>
      <c r="J32" s="44" t="n">
        <v>0.23</v>
      </c>
      <c r="K32" s="44" t="n">
        <v>0.26</v>
      </c>
      <c r="L32" s="44" t="n">
        <v>0.29</v>
      </c>
      <c r="M32" s="44" t="n">
        <v>0.32</v>
      </c>
      <c r="N32" s="44" t="n">
        <v>0.35</v>
      </c>
      <c r="O32" s="44" t="n">
        <v>0.384</v>
      </c>
      <c r="P32" s="44" t="n">
        <v>0.418</v>
      </c>
      <c r="Q32" s="44" t="n">
        <v>0.452</v>
      </c>
      <c r="R32" s="44" t="n">
        <v>0.486</v>
      </c>
      <c r="S32" s="44" t="n">
        <v>0.52</v>
      </c>
      <c r="T32" s="44" t="n">
        <v>0.54</v>
      </c>
      <c r="U32" s="44" t="n">
        <v>0.5600000000000001</v>
      </c>
      <c r="V32" s="44" t="n">
        <v>0.58</v>
      </c>
      <c r="W32" s="44" t="n">
        <v>0.6</v>
      </c>
      <c r="X32" s="44" t="n">
        <v>0.62</v>
      </c>
      <c r="Y32" s="44" t="n">
        <v>0.64</v>
      </c>
      <c r="Z32" s="44" t="n">
        <v>0.6599999999999999</v>
      </c>
      <c r="AA32" s="44" t="n">
        <v>0.6799999999999999</v>
      </c>
      <c r="AB32" s="44" t="n">
        <v>0.7</v>
      </c>
      <c r="AC32" s="44" t="n">
        <v>0.72</v>
      </c>
      <c r="AD32" s="44" t="n">
        <v>0.736</v>
      </c>
      <c r="AE32" s="44" t="n">
        <v>0.752</v>
      </c>
      <c r="AF32" s="44" t="n">
        <v>0.768</v>
      </c>
      <c r="AG32" s="44" t="n">
        <v>0.784</v>
      </c>
      <c r="AH32" s="44" t="n">
        <v>0.8</v>
      </c>
      <c r="AI32" s="44" t="n">
        <v>0.8159999999999999</v>
      </c>
      <c r="AJ32" s="44" t="n">
        <v>0.832</v>
      </c>
      <c r="AK32" s="44" t="n">
        <v>0.848</v>
      </c>
      <c r="AL32" s="44" t="n">
        <v>0.864</v>
      </c>
      <c r="AM32" s="44" t="n">
        <v>0.88</v>
      </c>
    </row>
    <row r="33" ht="17" customHeight="1">
      <c r="A33" s="2" t="inlineStr">
        <is>
          <t>总绿电量(万kWh)</t>
        </is>
      </c>
      <c r="B33" s="7" t="inlineStr">
        <is>
          <t>电力结构公式</t>
        </is>
      </c>
      <c r="C33" s="20">
        <f>C31*C32</f>
        <v/>
      </c>
      <c r="D33" s="20">
        <f>D31*D32</f>
        <v/>
      </c>
      <c r="E33" s="20">
        <f>E31*E32</f>
        <v/>
      </c>
      <c r="F33" s="20">
        <f>F31*F32</f>
        <v/>
      </c>
      <c r="G33" s="20">
        <f>G31*G32</f>
        <v/>
      </c>
      <c r="H33" s="20">
        <f>H31*H32</f>
        <v/>
      </c>
      <c r="I33" s="20">
        <f>I31*I32</f>
        <v/>
      </c>
      <c r="J33" s="20">
        <f>J31*J32</f>
        <v/>
      </c>
      <c r="K33" s="20">
        <f>K31*K32</f>
        <v/>
      </c>
      <c r="L33" s="20">
        <f>L31*L32</f>
        <v/>
      </c>
      <c r="M33" s="20">
        <f>M31*M32</f>
        <v/>
      </c>
      <c r="N33" s="20">
        <f>N31*N32</f>
        <v/>
      </c>
      <c r="O33" s="20">
        <f>O31*O32</f>
        <v/>
      </c>
      <c r="P33" s="20">
        <f>P31*P32</f>
        <v/>
      </c>
      <c r="Q33" s="20">
        <f>Q31*Q32</f>
        <v/>
      </c>
      <c r="R33" s="20">
        <f>R31*R32</f>
        <v/>
      </c>
      <c r="S33" s="20">
        <f>S31*S32</f>
        <v/>
      </c>
      <c r="T33" s="20">
        <f>T31*T32</f>
        <v/>
      </c>
      <c r="U33" s="20">
        <f>U31*U32</f>
        <v/>
      </c>
      <c r="V33" s="20">
        <f>V31*V32</f>
        <v/>
      </c>
      <c r="W33" s="20">
        <f>W31*W32</f>
        <v/>
      </c>
      <c r="X33" s="20">
        <f>X31*X32</f>
        <v/>
      </c>
      <c r="Y33" s="20">
        <f>Y31*Y32</f>
        <v/>
      </c>
      <c r="Z33" s="20">
        <f>Z31*Z32</f>
        <v/>
      </c>
      <c r="AA33" s="20">
        <f>AA31*AA32</f>
        <v/>
      </c>
      <c r="AB33" s="20">
        <f>AB31*AB32</f>
        <v/>
      </c>
      <c r="AC33" s="20">
        <f>AC31*AC32</f>
        <v/>
      </c>
      <c r="AD33" s="20">
        <f>AD31*AD32</f>
        <v/>
      </c>
      <c r="AE33" s="20">
        <f>AE31*AE32</f>
        <v/>
      </c>
      <c r="AF33" s="20">
        <f>AF31*AF32</f>
        <v/>
      </c>
      <c r="AG33" s="20">
        <f>AG31*AG32</f>
        <v/>
      </c>
      <c r="AH33" s="20">
        <f>AH31*AH32</f>
        <v/>
      </c>
      <c r="AI33" s="20">
        <f>AI31*AI32</f>
        <v/>
      </c>
      <c r="AJ33" s="20">
        <f>AJ31*AJ32</f>
        <v/>
      </c>
      <c r="AK33" s="20">
        <f>AK31*AK32</f>
        <v/>
      </c>
      <c r="AL33" s="20">
        <f>AL31*AL32</f>
        <v/>
      </c>
      <c r="AM33" s="20">
        <f>AM31*AM32</f>
        <v/>
      </c>
    </row>
    <row r="34" ht="17.5" customHeight="1">
      <c r="A34" s="34" t="inlineStr">
        <is>
          <t>Step 7: 低碳技术</t>
        </is>
      </c>
      <c r="B34" s="35" t="n"/>
      <c r="C34" s="35" t="n"/>
      <c r="D34" s="35" t="n"/>
      <c r="E34" s="35" t="n"/>
      <c r="F34" s="35" t="n"/>
      <c r="G34" s="35" t="n"/>
      <c r="H34" s="35" t="n"/>
      <c r="I34" s="35" t="n"/>
      <c r="J34" s="35" t="n"/>
      <c r="K34" s="35" t="n"/>
      <c r="L34" s="35" t="n"/>
      <c r="M34" s="35" t="n"/>
      <c r="N34" s="35" t="n"/>
      <c r="O34" s="35" t="n"/>
      <c r="P34" s="35" t="n"/>
      <c r="Q34" s="35" t="n"/>
      <c r="R34" s="35" t="n"/>
      <c r="S34" s="35" t="n"/>
      <c r="T34" s="35" t="n"/>
      <c r="U34" s="35" t="n"/>
      <c r="V34" s="35" t="n"/>
      <c r="W34" s="35" t="n"/>
      <c r="X34" s="35" t="n"/>
      <c r="Y34" s="35" t="n"/>
      <c r="Z34" s="35" t="n"/>
      <c r="AA34" s="35" t="n"/>
      <c r="AB34" s="35" t="n"/>
      <c r="AC34" s="35" t="n"/>
      <c r="AD34" s="35" t="n"/>
      <c r="AE34" s="35" t="n"/>
      <c r="AF34" s="35" t="n"/>
      <c r="AG34" s="35" t="n"/>
      <c r="AH34" s="35" t="n"/>
      <c r="AI34" s="35" t="n"/>
      <c r="AJ34" s="35" t="n"/>
      <c r="AK34" s="35" t="n"/>
      <c r="AL34" s="35" t="n"/>
      <c r="AM34" s="36" t="n"/>
    </row>
    <row r="35" ht="46" customHeight="1">
      <c r="A35" s="40" t="inlineStr">
        <is>
          <t>低碳技术名称</t>
        </is>
      </c>
      <c r="B35" s="7" t="inlineStr">
        <is>
          <t>逐年技术部署</t>
        </is>
      </c>
      <c r="C35" s="24" t="inlineStr">
        <is>
          <t>干熄焦技术(已部署,含于基准)</t>
        </is>
      </c>
      <c r="D35" s="24" t="inlineStr">
        <is>
          <t>厚料层烧结技术</t>
        </is>
      </c>
      <c r="E35" s="24" t="inlineStr">
        <is>
          <t>球团废热循环利用技术</t>
        </is>
      </c>
      <c r="F35" s="24" t="inlineStr">
        <is>
          <t>-</t>
        </is>
      </c>
      <c r="G35" s="24" t="inlineStr">
        <is>
          <t>高炉炉顶煤气干式余压发电技术(TRT)</t>
        </is>
      </c>
      <c r="H35" s="24" t="inlineStr">
        <is>
          <t>高炉冲渣水直接换热回收余热技术</t>
        </is>
      </c>
      <c r="I35" s="24" t="inlineStr">
        <is>
          <t>-</t>
        </is>
      </c>
      <c r="J35" s="24" t="inlineStr">
        <is>
          <t>转炉气体及显热回收技术</t>
        </is>
      </c>
      <c r="K35" s="24" t="inlineStr">
        <is>
          <t>转炉'负能炼钢'工艺技术</t>
        </is>
      </c>
      <c r="L35" s="24" t="inlineStr">
        <is>
          <t>钢包加盖技术</t>
        </is>
      </c>
      <c r="M35" s="24" t="inlineStr">
        <is>
          <t>钢包周转优化技术</t>
        </is>
      </c>
      <c r="N35" s="24" t="inlineStr">
        <is>
          <t>废钢预热技术</t>
        </is>
      </c>
      <c r="O35" s="24" t="inlineStr">
        <is>
          <t>电源及电控系统智能化控制技术</t>
        </is>
      </c>
      <c r="P35" s="24" t="inlineStr">
        <is>
          <t>电炉连续加料技术</t>
        </is>
      </c>
      <c r="Q35" s="24" t="inlineStr">
        <is>
          <t>-</t>
        </is>
      </c>
      <c r="R35" s="24" t="inlineStr">
        <is>
          <t>-</t>
        </is>
      </c>
      <c r="S35" s="24" t="inlineStr">
        <is>
          <t>-</t>
        </is>
      </c>
      <c r="T35" s="24" t="inlineStr">
        <is>
          <t>-</t>
        </is>
      </c>
      <c r="U35" s="24" t="inlineStr">
        <is>
          <t>-</t>
        </is>
      </c>
      <c r="V35" s="24" t="inlineStr">
        <is>
          <t>连铸坯热送热装技术</t>
        </is>
      </c>
      <c r="W35" s="24" t="inlineStr">
        <is>
          <t>-</t>
        </is>
      </c>
      <c r="X35" s="24" t="inlineStr">
        <is>
          <t>-</t>
        </is>
      </c>
      <c r="Y35" s="24" t="inlineStr">
        <is>
          <t>-</t>
        </is>
      </c>
      <c r="Z35" s="24" t="inlineStr">
        <is>
          <t>薄板坯连铸技术</t>
        </is>
      </c>
      <c r="AA35" s="24" t="inlineStr">
        <is>
          <t>-</t>
        </is>
      </c>
      <c r="AB35" s="24" t="inlineStr">
        <is>
          <t>-</t>
        </is>
      </c>
      <c r="AC35" s="24" t="inlineStr">
        <is>
          <t>-</t>
        </is>
      </c>
      <c r="AD35" s="24" t="inlineStr">
        <is>
          <t>-</t>
        </is>
      </c>
      <c r="AE35" s="24" t="inlineStr">
        <is>
          <t>-</t>
        </is>
      </c>
      <c r="AF35" s="24" t="inlineStr">
        <is>
          <t>-</t>
        </is>
      </c>
      <c r="AG35" s="24" t="inlineStr">
        <is>
          <t>-</t>
        </is>
      </c>
      <c r="AH35" s="24" t="inlineStr">
        <is>
          <t>-</t>
        </is>
      </c>
      <c r="AI35" s="24" t="inlineStr">
        <is>
          <t>-</t>
        </is>
      </c>
      <c r="AJ35" s="24" t="inlineStr">
        <is>
          <t>-</t>
        </is>
      </c>
      <c r="AK35" s="24" t="inlineStr">
        <is>
          <t>-</t>
        </is>
      </c>
      <c r="AL35" s="24" t="inlineStr">
        <is>
          <t>-</t>
        </is>
      </c>
      <c r="AM35" s="24" t="inlineStr">
        <is>
          <t>-</t>
        </is>
      </c>
    </row>
    <row r="36" ht="17" customHeight="1">
      <c r="A36" s="2" t="inlineStr">
        <is>
          <t>当年降碳潜力(tCO2/t)</t>
        </is>
      </c>
      <c r="B36" s="7" t="inlineStr">
        <is>
          <t>逐年假设(可调)</t>
        </is>
      </c>
      <c r="C36" s="45" t="n">
        <v>0</v>
      </c>
      <c r="D36" s="45" t="n">
        <v>0.0008333333333333333</v>
      </c>
      <c r="E36" s="45" t="n">
        <v>0.001666666666666667</v>
      </c>
      <c r="F36" s="45" t="n">
        <v>0.0025</v>
      </c>
      <c r="G36" s="45" t="n">
        <v>0.003333333333333333</v>
      </c>
      <c r="H36" s="45" t="n">
        <v>0.004166666666666667</v>
      </c>
      <c r="I36" s="45" t="n">
        <v>0.005</v>
      </c>
      <c r="J36" s="45" t="n">
        <v>0.008</v>
      </c>
      <c r="K36" s="45" t="n">
        <v>0.011</v>
      </c>
      <c r="L36" s="45" t="n">
        <v>0.014</v>
      </c>
      <c r="M36" s="45" t="n">
        <v>0.017</v>
      </c>
      <c r="N36" s="45" t="n">
        <v>0.02</v>
      </c>
      <c r="O36" s="45" t="n">
        <v>0.022</v>
      </c>
      <c r="P36" s="45" t="n">
        <v>0.024</v>
      </c>
      <c r="Q36" s="45" t="n">
        <v>0.026</v>
      </c>
      <c r="R36" s="45" t="n">
        <v>0.028</v>
      </c>
      <c r="S36" s="45" t="n">
        <v>0.03</v>
      </c>
      <c r="T36" s="45" t="n">
        <v>0.0305</v>
      </c>
      <c r="U36" s="45" t="n">
        <v>0.031</v>
      </c>
      <c r="V36" s="45" t="n">
        <v>0.0315</v>
      </c>
      <c r="W36" s="45" t="n">
        <v>0.032</v>
      </c>
      <c r="X36" s="45" t="n">
        <v>0.0325</v>
      </c>
      <c r="Y36" s="45" t="n">
        <v>0.033</v>
      </c>
      <c r="Z36" s="45" t="n">
        <v>0.0335</v>
      </c>
      <c r="AA36" s="45" t="n">
        <v>0.034</v>
      </c>
      <c r="AB36" s="45" t="n">
        <v>0.0345</v>
      </c>
      <c r="AC36" s="45" t="n">
        <v>0.035</v>
      </c>
      <c r="AD36" s="45" t="n">
        <v>0.0335</v>
      </c>
      <c r="AE36" s="45" t="n">
        <v>0.032</v>
      </c>
      <c r="AF36" s="45" t="n">
        <v>0.0305</v>
      </c>
      <c r="AG36" s="45" t="n">
        <v>0.029</v>
      </c>
      <c r="AH36" s="45" t="n">
        <v>0.0275</v>
      </c>
      <c r="AI36" s="45" t="n">
        <v>0.026</v>
      </c>
      <c r="AJ36" s="45" t="n">
        <v>0.0245</v>
      </c>
      <c r="AK36" s="45" t="n">
        <v>0.023</v>
      </c>
      <c r="AL36" s="45" t="n">
        <v>0.0215</v>
      </c>
      <c r="AM36" s="45" t="n">
        <v>0.02</v>
      </c>
    </row>
    <row r="37" ht="17" customHeight="1">
      <c r="A37" s="4" t="inlineStr">
        <is>
          <t>累计降碳潜力(tCO2/t)</t>
        </is>
      </c>
      <c r="B37" s="7">
        <f>上年累计+当年新增</f>
        <v/>
      </c>
      <c r="C37" s="46">
        <f>C36</f>
        <v/>
      </c>
      <c r="D37" s="46">
        <f>C37+D36</f>
        <v/>
      </c>
      <c r="E37" s="46">
        <f>D37+E36</f>
        <v/>
      </c>
      <c r="F37" s="46">
        <f>E37+F36</f>
        <v/>
      </c>
      <c r="G37" s="46">
        <f>F37+G36</f>
        <v/>
      </c>
      <c r="H37" s="46">
        <f>G37+H36</f>
        <v/>
      </c>
      <c r="I37" s="46">
        <f>H37+I36</f>
        <v/>
      </c>
      <c r="J37" s="46">
        <f>I37+J36</f>
        <v/>
      </c>
      <c r="K37" s="46">
        <f>J37+K36</f>
        <v/>
      </c>
      <c r="L37" s="46">
        <f>K37+L36</f>
        <v/>
      </c>
      <c r="M37" s="46">
        <f>L37+M36</f>
        <v/>
      </c>
      <c r="N37" s="46">
        <f>M37+N36</f>
        <v/>
      </c>
      <c r="O37" s="46">
        <f>N37+O36</f>
        <v/>
      </c>
      <c r="P37" s="46">
        <f>O37+P36</f>
        <v/>
      </c>
      <c r="Q37" s="46">
        <f>P37+Q36</f>
        <v/>
      </c>
      <c r="R37" s="46">
        <f>Q37+R36</f>
        <v/>
      </c>
      <c r="S37" s="46">
        <f>R37+S36</f>
        <v/>
      </c>
      <c r="T37" s="46">
        <f>S37+T36</f>
        <v/>
      </c>
      <c r="U37" s="46">
        <f>T37+U36</f>
        <v/>
      </c>
      <c r="V37" s="46">
        <f>U37+V36</f>
        <v/>
      </c>
      <c r="W37" s="46">
        <f>V37+W36</f>
        <v/>
      </c>
      <c r="X37" s="46">
        <f>W37+X36</f>
        <v/>
      </c>
      <c r="Y37" s="46">
        <f>X37+Y36</f>
        <v/>
      </c>
      <c r="Z37" s="46">
        <f>Y37+Z36</f>
        <v/>
      </c>
      <c r="AA37" s="46">
        <f>Z37+AA36</f>
        <v/>
      </c>
      <c r="AB37" s="46">
        <f>AA37+AB36</f>
        <v/>
      </c>
      <c r="AC37" s="46">
        <f>AB37+AC36</f>
        <v/>
      </c>
      <c r="AD37" s="46">
        <f>AC37+AD36</f>
        <v/>
      </c>
      <c r="AE37" s="46">
        <f>AD37+AE36</f>
        <v/>
      </c>
      <c r="AF37" s="46">
        <f>AE37+AF36</f>
        <v/>
      </c>
      <c r="AG37" s="46">
        <f>AF37+AG36</f>
        <v/>
      </c>
      <c r="AH37" s="46">
        <f>AG37+AH36</f>
        <v/>
      </c>
      <c r="AI37" s="46">
        <f>AH37+AI36</f>
        <v/>
      </c>
      <c r="AJ37" s="46">
        <f>AI37+AJ36</f>
        <v/>
      </c>
      <c r="AK37" s="46">
        <f>AJ37+AK36</f>
        <v/>
      </c>
      <c r="AL37" s="46">
        <f>AK37+AL36</f>
        <v/>
      </c>
      <c r="AM37" s="46">
        <f>AL37+AM36</f>
        <v/>
      </c>
    </row>
    <row r="38" ht="15" customHeight="1">
      <c r="A38" s="7" t="inlineStr">
        <is>
          <t>原始累计(含基准1.95内)</t>
        </is>
      </c>
      <c r="B38" s="7">
        <f>模型累计+0.066</f>
        <v/>
      </c>
      <c r="C38" s="47">
        <f>C37+0.066</f>
        <v/>
      </c>
      <c r="D38" s="47">
        <f>D37+0.066</f>
        <v/>
      </c>
      <c r="E38" s="47">
        <f>E37+0.066</f>
        <v/>
      </c>
      <c r="F38" s="47">
        <f>F37+0.066</f>
        <v/>
      </c>
      <c r="G38" s="47">
        <f>G37+0.066</f>
        <v/>
      </c>
      <c r="H38" s="47">
        <f>H37+0.066</f>
        <v/>
      </c>
      <c r="I38" s="47">
        <f>I37+0.066</f>
        <v/>
      </c>
      <c r="J38" s="47">
        <f>J37+0.066</f>
        <v/>
      </c>
      <c r="K38" s="47">
        <f>K37+0.066</f>
        <v/>
      </c>
      <c r="L38" s="47">
        <f>L37+0.066</f>
        <v/>
      </c>
      <c r="M38" s="47">
        <f>M37+0.066</f>
        <v/>
      </c>
      <c r="N38" s="47">
        <f>N37+0.066</f>
        <v/>
      </c>
      <c r="O38" s="47">
        <f>O37+0.066</f>
        <v/>
      </c>
      <c r="P38" s="47">
        <f>P37+0.066</f>
        <v/>
      </c>
      <c r="Q38" s="47">
        <f>Q37+0.066</f>
        <v/>
      </c>
      <c r="R38" s="47">
        <f>R37+0.066</f>
        <v/>
      </c>
      <c r="S38" s="47">
        <f>S37+0.066</f>
        <v/>
      </c>
      <c r="T38" s="47">
        <f>T37+0.066</f>
        <v/>
      </c>
      <c r="U38" s="47">
        <f>U37+0.066</f>
        <v/>
      </c>
      <c r="V38" s="47">
        <f>V37+0.066</f>
        <v/>
      </c>
      <c r="W38" s="47">
        <f>W37+0.066</f>
        <v/>
      </c>
      <c r="X38" s="47">
        <f>X37+0.066</f>
        <v/>
      </c>
      <c r="Y38" s="47">
        <f>Y37+0.066</f>
        <v/>
      </c>
      <c r="Z38" s="47">
        <f>Z37+0.066</f>
        <v/>
      </c>
      <c r="AA38" s="47">
        <f>AA37+0.066</f>
        <v/>
      </c>
      <c r="AB38" s="47">
        <f>AB37+0.066</f>
        <v/>
      </c>
      <c r="AC38" s="47">
        <f>AC37+0.066</f>
        <v/>
      </c>
      <c r="AD38" s="47">
        <f>AD37+0.066</f>
        <v/>
      </c>
      <c r="AE38" s="47">
        <f>AE37+0.066</f>
        <v/>
      </c>
      <c r="AF38" s="47">
        <f>AF37+0.066</f>
        <v/>
      </c>
      <c r="AG38" s="47">
        <f>AG37+0.066</f>
        <v/>
      </c>
      <c r="AH38" s="47">
        <f>AH37+0.066</f>
        <v/>
      </c>
      <c r="AI38" s="47">
        <f>AI37+0.066</f>
        <v/>
      </c>
      <c r="AJ38" s="47">
        <f>AJ37+0.066</f>
        <v/>
      </c>
      <c r="AK38" s="47">
        <f>AK37+0.066</f>
        <v/>
      </c>
      <c r="AL38" s="47">
        <f>AL37+0.066</f>
        <v/>
      </c>
      <c r="AM38" s="47">
        <f>AM37+0.066</f>
        <v/>
      </c>
    </row>
    <row r="39" ht="17.5" customHeight="1">
      <c r="A39" s="34" t="inlineStr">
        <is>
          <t>Step 8: 低碳发展测算表(Waterfall)</t>
        </is>
      </c>
      <c r="B39" s="35" t="n"/>
      <c r="C39" s="35" t="n"/>
      <c r="D39" s="35" t="n"/>
      <c r="E39" s="35" t="n"/>
      <c r="F39" s="35" t="n"/>
      <c r="G39" s="35" t="n"/>
      <c r="H39" s="35" t="n"/>
      <c r="I39" s="35" t="n"/>
      <c r="J39" s="35" t="n"/>
      <c r="K39" s="35" t="n"/>
      <c r="L39" s="35" t="n"/>
      <c r="M39" s="35" t="n"/>
      <c r="N39" s="35" t="n"/>
      <c r="O39" s="35" t="n"/>
      <c r="P39" s="35" t="n"/>
      <c r="Q39" s="35" t="n"/>
      <c r="R39" s="35" t="n"/>
      <c r="S39" s="35" t="n"/>
      <c r="T39" s="35" t="n"/>
      <c r="U39" s="35" t="n"/>
      <c r="V39" s="35" t="n"/>
      <c r="W39" s="35" t="n"/>
      <c r="X39" s="35" t="n"/>
      <c r="Y39" s="35" t="n"/>
      <c r="Z39" s="35" t="n"/>
      <c r="AA39" s="35" t="n"/>
      <c r="AB39" s="35" t="n"/>
      <c r="AC39" s="35" t="n"/>
      <c r="AD39" s="35" t="n"/>
      <c r="AE39" s="35" t="n"/>
      <c r="AF39" s="35" t="n"/>
      <c r="AG39" s="35" t="n"/>
      <c r="AH39" s="35" t="n"/>
      <c r="AI39" s="35" t="n"/>
      <c r="AJ39" s="35" t="n"/>
      <c r="AK39" s="35" t="n"/>
      <c r="AL39" s="35" t="n"/>
      <c r="AM39" s="36" t="n"/>
    </row>
    <row r="40">
      <c r="A40" s="40" t="inlineStr">
        <is>
          <t>8.1 产量变化</t>
        </is>
      </c>
      <c r="B40" s="35" t="n"/>
      <c r="C40" s="35" t="n"/>
      <c r="D40" s="35" t="n"/>
      <c r="E40" s="35" t="n"/>
      <c r="F40" s="35" t="n"/>
      <c r="G40" s="35" t="n"/>
      <c r="H40" s="35" t="n"/>
      <c r="I40" s="35" t="n"/>
      <c r="J40" s="35" t="n"/>
      <c r="K40" s="35" t="n"/>
      <c r="L40" s="35" t="n"/>
      <c r="M40" s="35" t="n"/>
      <c r="N40" s="35" t="n"/>
      <c r="O40" s="35" t="n"/>
      <c r="P40" s="35" t="n"/>
      <c r="Q40" s="35" t="n"/>
      <c r="R40" s="35" t="n"/>
      <c r="S40" s="35" t="n"/>
      <c r="T40" s="35" t="n"/>
      <c r="U40" s="35" t="n"/>
      <c r="V40" s="35" t="n"/>
      <c r="W40" s="35" t="n"/>
      <c r="X40" s="35" t="n"/>
      <c r="Y40" s="35" t="n"/>
      <c r="Z40" s="35" t="n"/>
      <c r="AA40" s="35" t="n"/>
      <c r="AB40" s="35" t="n"/>
      <c r="AC40" s="35" t="n"/>
      <c r="AD40" s="35" t="n"/>
      <c r="AE40" s="35" t="n"/>
      <c r="AF40" s="35" t="n"/>
      <c r="AG40" s="35" t="n"/>
      <c r="AH40" s="35" t="n"/>
      <c r="AI40" s="35" t="n"/>
      <c r="AJ40" s="35" t="n"/>
      <c r="AK40" s="35" t="n"/>
      <c r="AL40" s="35" t="n"/>
      <c r="AM40" s="36" t="n"/>
    </row>
    <row r="41" ht="17" customHeight="1">
      <c r="A41" s="2" t="inlineStr">
        <is>
          <t>产量变化碳排放曲线(万吨CO2)</t>
        </is>
      </c>
      <c r="B41" s="7">
        <f>粗钢产量×1.95</f>
        <v/>
      </c>
      <c r="C41" s="20">
        <f>C13*1.95</f>
        <v/>
      </c>
      <c r="D41" s="20">
        <f>D13*1.95</f>
        <v/>
      </c>
      <c r="E41" s="20">
        <f>E13*1.95</f>
        <v/>
      </c>
      <c r="F41" s="20">
        <f>F13*1.95</f>
        <v/>
      </c>
      <c r="G41" s="20">
        <f>G13*1.95</f>
        <v/>
      </c>
      <c r="H41" s="20">
        <f>H13*1.95</f>
        <v/>
      </c>
      <c r="I41" s="20">
        <f>I13*1.95</f>
        <v/>
      </c>
      <c r="J41" s="20">
        <f>J13*1.95</f>
        <v/>
      </c>
      <c r="K41" s="20">
        <f>K13*1.95</f>
        <v/>
      </c>
      <c r="L41" s="20">
        <f>L13*1.95</f>
        <v/>
      </c>
      <c r="M41" s="20">
        <f>M13*1.95</f>
        <v/>
      </c>
      <c r="N41" s="20">
        <f>N13*1.95</f>
        <v/>
      </c>
      <c r="O41" s="20">
        <f>O13*1.95</f>
        <v/>
      </c>
      <c r="P41" s="20">
        <f>P13*1.95</f>
        <v/>
      </c>
      <c r="Q41" s="20">
        <f>Q13*1.95</f>
        <v/>
      </c>
      <c r="R41" s="20">
        <f>R13*1.95</f>
        <v/>
      </c>
      <c r="S41" s="20">
        <f>S13*1.95</f>
        <v/>
      </c>
      <c r="T41" s="20">
        <f>T13*1.95</f>
        <v/>
      </c>
      <c r="U41" s="20">
        <f>U13*1.95</f>
        <v/>
      </c>
      <c r="V41" s="20">
        <f>V13*1.95</f>
        <v/>
      </c>
      <c r="W41" s="20">
        <f>W13*1.95</f>
        <v/>
      </c>
      <c r="X41" s="20">
        <f>X13*1.95</f>
        <v/>
      </c>
      <c r="Y41" s="20">
        <f>Y13*1.95</f>
        <v/>
      </c>
      <c r="Z41" s="20">
        <f>Z13*1.95</f>
        <v/>
      </c>
      <c r="AA41" s="20">
        <f>AA13*1.95</f>
        <v/>
      </c>
      <c r="AB41" s="20">
        <f>AB13*1.95</f>
        <v/>
      </c>
      <c r="AC41" s="20">
        <f>AC13*1.95</f>
        <v/>
      </c>
      <c r="AD41" s="20">
        <f>AD13*1.95</f>
        <v/>
      </c>
      <c r="AE41" s="20">
        <f>AE13*1.95</f>
        <v/>
      </c>
      <c r="AF41" s="20">
        <f>AF13*1.95</f>
        <v/>
      </c>
      <c r="AG41" s="20">
        <f>AG13*1.95</f>
        <v/>
      </c>
      <c r="AH41" s="20">
        <f>AH13*1.95</f>
        <v/>
      </c>
      <c r="AI41" s="20">
        <f>AI13*1.95</f>
        <v/>
      </c>
      <c r="AJ41" s="20">
        <f>AJ13*1.95</f>
        <v/>
      </c>
      <c r="AK41" s="20">
        <f>AK13*1.95</f>
        <v/>
      </c>
      <c r="AL41" s="20">
        <f>AL13*1.95</f>
        <v/>
      </c>
      <c r="AM41" s="20">
        <f>AM13*1.95</f>
        <v/>
      </c>
    </row>
    <row r="42" ht="17" customHeight="1">
      <c r="A42" s="2" t="inlineStr">
        <is>
          <t>产量变化降碳潜力(万吨CO2)</t>
        </is>
      </c>
      <c r="B42" s="7">
        <f>基准产量×1.95-当年曲线</f>
        <v/>
      </c>
      <c r="C42" s="20">
        <f>100509*1.95-C41</f>
        <v/>
      </c>
      <c r="D42" s="20">
        <f>100509*1.95-D41</f>
        <v/>
      </c>
      <c r="E42" s="20">
        <f>100509*1.95-E41</f>
        <v/>
      </c>
      <c r="F42" s="20">
        <f>100509*1.95-F41</f>
        <v/>
      </c>
      <c r="G42" s="20">
        <f>100509*1.95-G41</f>
        <v/>
      </c>
      <c r="H42" s="20">
        <f>100509*1.95-H41</f>
        <v/>
      </c>
      <c r="I42" s="20">
        <f>100509*1.95-I41</f>
        <v/>
      </c>
      <c r="J42" s="20">
        <f>100509*1.95-J41</f>
        <v/>
      </c>
      <c r="K42" s="20">
        <f>100509*1.95-K41</f>
        <v/>
      </c>
      <c r="L42" s="20">
        <f>100509*1.95-L41</f>
        <v/>
      </c>
      <c r="M42" s="20">
        <f>100509*1.95-M41</f>
        <v/>
      </c>
      <c r="N42" s="20">
        <f>100509*1.95-N41</f>
        <v/>
      </c>
      <c r="O42" s="20">
        <f>100509*1.95-O41</f>
        <v/>
      </c>
      <c r="P42" s="20">
        <f>100509*1.95-P41</f>
        <v/>
      </c>
      <c r="Q42" s="20">
        <f>100509*1.95-Q41</f>
        <v/>
      </c>
      <c r="R42" s="20">
        <f>100509*1.95-R41</f>
        <v/>
      </c>
      <c r="S42" s="20">
        <f>100509*1.95-S41</f>
        <v/>
      </c>
      <c r="T42" s="20">
        <f>100509*1.95-T41</f>
        <v/>
      </c>
      <c r="U42" s="20">
        <f>100509*1.95-U41</f>
        <v/>
      </c>
      <c r="V42" s="20">
        <f>100509*1.95-V41</f>
        <v/>
      </c>
      <c r="W42" s="20">
        <f>100509*1.95-W41</f>
        <v/>
      </c>
      <c r="X42" s="20">
        <f>100509*1.95-X41</f>
        <v/>
      </c>
      <c r="Y42" s="20">
        <f>100509*1.95-Y41</f>
        <v/>
      </c>
      <c r="Z42" s="20">
        <f>100509*1.95-Z41</f>
        <v/>
      </c>
      <c r="AA42" s="20">
        <f>100509*1.95-AA41</f>
        <v/>
      </c>
      <c r="AB42" s="20">
        <f>100509*1.95-AB41</f>
        <v/>
      </c>
      <c r="AC42" s="20">
        <f>100509*1.95-AC41</f>
        <v/>
      </c>
      <c r="AD42" s="20">
        <f>100509*1.95-AD41</f>
        <v/>
      </c>
      <c r="AE42" s="20">
        <f>100509*1.95-AE41</f>
        <v/>
      </c>
      <c r="AF42" s="20">
        <f>100509*1.95-AF41</f>
        <v/>
      </c>
      <c r="AG42" s="20">
        <f>100509*1.95-AG41</f>
        <v/>
      </c>
      <c r="AH42" s="20">
        <f>100509*1.95-AH41</f>
        <v/>
      </c>
      <c r="AI42" s="20">
        <f>100509*1.95-AI41</f>
        <v/>
      </c>
      <c r="AJ42" s="20">
        <f>100509*1.95-AJ41</f>
        <v/>
      </c>
      <c r="AK42" s="20">
        <f>100509*1.95-AK41</f>
        <v/>
      </c>
      <c r="AL42" s="20">
        <f>100509*1.95-AL41</f>
        <v/>
      </c>
      <c r="AM42" s="20">
        <f>100509*1.95-AM41</f>
        <v/>
      </c>
    </row>
    <row r="43">
      <c r="A43" s="40" t="inlineStr">
        <is>
          <t>8.2 原料结构优化</t>
        </is>
      </c>
      <c r="B43" s="35" t="n"/>
      <c r="C43" s="35" t="n"/>
      <c r="D43" s="35" t="n"/>
      <c r="E43" s="35" t="n"/>
      <c r="F43" s="35" t="n"/>
      <c r="G43" s="35" t="n"/>
      <c r="H43" s="35" t="n"/>
      <c r="I43" s="35" t="n"/>
      <c r="J43" s="35" t="n"/>
      <c r="K43" s="35" t="n"/>
      <c r="L43" s="35" t="n"/>
      <c r="M43" s="35" t="n"/>
      <c r="N43" s="35" t="n"/>
      <c r="O43" s="35" t="n"/>
      <c r="P43" s="35" t="n"/>
      <c r="Q43" s="35" t="n"/>
      <c r="R43" s="35" t="n"/>
      <c r="S43" s="35" t="n"/>
      <c r="T43" s="35" t="n"/>
      <c r="U43" s="35" t="n"/>
      <c r="V43" s="35" t="n"/>
      <c r="W43" s="35" t="n"/>
      <c r="X43" s="35" t="n"/>
      <c r="Y43" s="35" t="n"/>
      <c r="Z43" s="35" t="n"/>
      <c r="AA43" s="35" t="n"/>
      <c r="AB43" s="35" t="n"/>
      <c r="AC43" s="35" t="n"/>
      <c r="AD43" s="35" t="n"/>
      <c r="AE43" s="35" t="n"/>
      <c r="AF43" s="35" t="n"/>
      <c r="AG43" s="35" t="n"/>
      <c r="AH43" s="35" t="n"/>
      <c r="AI43" s="35" t="n"/>
      <c r="AJ43" s="35" t="n"/>
      <c r="AK43" s="35" t="n"/>
      <c r="AL43" s="35" t="n"/>
      <c r="AM43" s="36" t="n"/>
    </row>
    <row r="44" ht="17" customHeight="1">
      <c r="A44" s="2" t="inlineStr">
        <is>
          <t>原料优化降碳潜力(万吨CO2)</t>
        </is>
      </c>
      <c r="B44" s="7" t="n"/>
      <c r="C44" s="20">
        <f>((C28-38394.44)/1.1)*(1.8-0.45)</f>
        <v/>
      </c>
      <c r="D44" s="20">
        <f>((D28-38394.44)/1.1)*(1.8-0.45)</f>
        <v/>
      </c>
      <c r="E44" s="20">
        <f>((E28-38394.44)/1.1)*(1.8-0.45)</f>
        <v/>
      </c>
      <c r="F44" s="20">
        <f>((F28-38394.44)/1.1)*(1.8-0.45)</f>
        <v/>
      </c>
      <c r="G44" s="20">
        <f>((G28-38394.44)/1.1)*(1.8-0.45)</f>
        <v/>
      </c>
      <c r="H44" s="20">
        <f>((H28-38394.44)/1.1)*(1.8-0.45)</f>
        <v/>
      </c>
      <c r="I44" s="20">
        <f>((I28-38394.44)/1.1)*(1.8-0.45)</f>
        <v/>
      </c>
      <c r="J44" s="20">
        <f>((J28-38394.44)/1.1)*(1.8-0.45)</f>
        <v/>
      </c>
      <c r="K44" s="20">
        <f>((K28-38394.44)/1.1)*(1.8-0.45)</f>
        <v/>
      </c>
      <c r="L44" s="20">
        <f>((L28-38394.44)/1.1)*(1.8-0.45)</f>
        <v/>
      </c>
      <c r="M44" s="20">
        <f>((M28-38394.44)/1.1)*(1.8-0.45)</f>
        <v/>
      </c>
      <c r="N44" s="20">
        <f>((N28-38394.44)/1.1)*(1.8-0.45)</f>
        <v/>
      </c>
      <c r="O44" s="20">
        <f>((O28-38394.44)/1.1)*(1.8-0.45)</f>
        <v/>
      </c>
      <c r="P44" s="20">
        <f>((P28-38394.44)/1.1)*(1.8-0.45)</f>
        <v/>
      </c>
      <c r="Q44" s="20">
        <f>((Q28-38394.44)/1.1)*(1.8-0.45)</f>
        <v/>
      </c>
      <c r="R44" s="20">
        <f>((R28-38394.44)/1.1)*(1.8-0.45)</f>
        <v/>
      </c>
      <c r="S44" s="20">
        <f>((S28-38394.44)/1.1)*(1.8-0.45)</f>
        <v/>
      </c>
      <c r="T44" s="20">
        <f>((T28-38394.44)/1.1)*(1.8-0.45)</f>
        <v/>
      </c>
      <c r="U44" s="20">
        <f>((U28-38394.44)/1.1)*(1.8-0.45)</f>
        <v/>
      </c>
      <c r="V44" s="20">
        <f>((V28-38394.44)/1.1)*(1.8-0.45)</f>
        <v/>
      </c>
      <c r="W44" s="20">
        <f>((W28-38394.44)/1.1)*(1.8-0.45)</f>
        <v/>
      </c>
      <c r="X44" s="20">
        <f>((X28-38394.44)/1.1)*(1.8-0.45)</f>
        <v/>
      </c>
      <c r="Y44" s="20">
        <f>((Y28-38394.44)/1.1)*(1.8-0.45)</f>
        <v/>
      </c>
      <c r="Z44" s="20">
        <f>((Z28-38394.44)/1.1)*(1.8-0.45)</f>
        <v/>
      </c>
      <c r="AA44" s="20">
        <f>((AA28-38394.44)/1.1)*(1.8-0.45)</f>
        <v/>
      </c>
      <c r="AB44" s="20">
        <f>((AB28-38394.44)/1.1)*(1.8-0.45)</f>
        <v/>
      </c>
      <c r="AC44" s="20">
        <f>((AC28-38394.44)/1.1)*(1.8-0.45)</f>
        <v/>
      </c>
      <c r="AD44" s="20">
        <f>((AD28-38394.44)/1.1)*(1.8-0.45)</f>
        <v/>
      </c>
      <c r="AE44" s="20">
        <f>((AE28-38394.44)/1.1)*(1.8-0.45)</f>
        <v/>
      </c>
      <c r="AF44" s="20">
        <f>((AF28-38394.44)/1.1)*(1.8-0.45)</f>
        <v/>
      </c>
      <c r="AG44" s="20">
        <f>((AG28-38394.44)/1.1)*(1.8-0.45)</f>
        <v/>
      </c>
      <c r="AH44" s="20">
        <f>((AH28-38394.44)/1.1)*(1.8-0.45)</f>
        <v/>
      </c>
      <c r="AI44" s="20">
        <f>((AI28-38394.44)/1.1)*(1.8-0.45)</f>
        <v/>
      </c>
      <c r="AJ44" s="20">
        <f>((AJ28-38394.44)/1.1)*(1.8-0.45)</f>
        <v/>
      </c>
      <c r="AK44" s="20">
        <f>((AK28-38394.44)/1.1)*(1.8-0.45)</f>
        <v/>
      </c>
      <c r="AL44" s="20">
        <f>((AL28-38394.44)/1.1)*(1.8-0.45)</f>
        <v/>
      </c>
      <c r="AM44" s="20">
        <f>((AM28-38394.44)/1.1)*(1.8-0.45)</f>
        <v/>
      </c>
    </row>
    <row r="45" ht="17" customHeight="1">
      <c r="A45" s="2" t="inlineStr">
        <is>
          <t>原料优化碳排放曲线(万吨CO2)</t>
        </is>
      </c>
      <c r="B45" s="7">
        <f>产量曲线-原料降碳</f>
        <v/>
      </c>
      <c r="C45" s="20">
        <f>C41-C44</f>
        <v/>
      </c>
      <c r="D45" s="20">
        <f>D41-D44</f>
        <v/>
      </c>
      <c r="E45" s="20">
        <f>E41-E44</f>
        <v/>
      </c>
      <c r="F45" s="20">
        <f>F41-F44</f>
        <v/>
      </c>
      <c r="G45" s="20">
        <f>G41-G44</f>
        <v/>
      </c>
      <c r="H45" s="20">
        <f>H41-H44</f>
        <v/>
      </c>
      <c r="I45" s="20">
        <f>I41-I44</f>
        <v/>
      </c>
      <c r="J45" s="20">
        <f>J41-J44</f>
        <v/>
      </c>
      <c r="K45" s="20">
        <f>K41-K44</f>
        <v/>
      </c>
      <c r="L45" s="20">
        <f>L41-L44</f>
        <v/>
      </c>
      <c r="M45" s="20">
        <f>M41-M44</f>
        <v/>
      </c>
      <c r="N45" s="20">
        <f>N41-N44</f>
        <v/>
      </c>
      <c r="O45" s="20">
        <f>O41-O44</f>
        <v/>
      </c>
      <c r="P45" s="20">
        <f>P41-P44</f>
        <v/>
      </c>
      <c r="Q45" s="20">
        <f>Q41-Q44</f>
        <v/>
      </c>
      <c r="R45" s="20">
        <f>R41-R44</f>
        <v/>
      </c>
      <c r="S45" s="20">
        <f>S41-S44</f>
        <v/>
      </c>
      <c r="T45" s="20">
        <f>T41-T44</f>
        <v/>
      </c>
      <c r="U45" s="20">
        <f>U41-U44</f>
        <v/>
      </c>
      <c r="V45" s="20">
        <f>V41-V44</f>
        <v/>
      </c>
      <c r="W45" s="20">
        <f>W41-W44</f>
        <v/>
      </c>
      <c r="X45" s="20">
        <f>X41-X44</f>
        <v/>
      </c>
      <c r="Y45" s="20">
        <f>Y41-Y44</f>
        <v/>
      </c>
      <c r="Z45" s="20">
        <f>Z41-Z44</f>
        <v/>
      </c>
      <c r="AA45" s="20">
        <f>AA41-AA44</f>
        <v/>
      </c>
      <c r="AB45" s="20">
        <f>AB41-AB44</f>
        <v/>
      </c>
      <c r="AC45" s="20">
        <f>AC41-AC44</f>
        <v/>
      </c>
      <c r="AD45" s="20">
        <f>AD41-AD44</f>
        <v/>
      </c>
      <c r="AE45" s="20">
        <f>AE41-AE44</f>
        <v/>
      </c>
      <c r="AF45" s="20">
        <f>AF41-AF44</f>
        <v/>
      </c>
      <c r="AG45" s="20">
        <f>AG41-AG44</f>
        <v/>
      </c>
      <c r="AH45" s="20">
        <f>AH41-AH44</f>
        <v/>
      </c>
      <c r="AI45" s="20">
        <f>AI41-AI44</f>
        <v/>
      </c>
      <c r="AJ45" s="20">
        <f>AJ41-AJ44</f>
        <v/>
      </c>
      <c r="AK45" s="20">
        <f>AK41-AK44</f>
        <v/>
      </c>
      <c r="AL45" s="20">
        <f>AL41-AL44</f>
        <v/>
      </c>
      <c r="AM45" s="20">
        <f>AM41-AM44</f>
        <v/>
      </c>
    </row>
    <row r="46">
      <c r="A46" s="40" t="inlineStr">
        <is>
          <t>8.3 短流程比例提升</t>
        </is>
      </c>
      <c r="B46" s="35" t="n"/>
      <c r="C46" s="35" t="n"/>
      <c r="D46" s="35" t="n"/>
      <c r="E46" s="35" t="n"/>
      <c r="F46" s="35" t="n"/>
      <c r="G46" s="35" t="n"/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5" t="n"/>
      <c r="S46" s="35" t="n"/>
      <c r="T46" s="35" t="n"/>
      <c r="U46" s="35" t="n"/>
      <c r="V46" s="35" t="n"/>
      <c r="W46" s="35" t="n"/>
      <c r="X46" s="35" t="n"/>
      <c r="Y46" s="35" t="n"/>
      <c r="Z46" s="35" t="n"/>
      <c r="AA46" s="35" t="n"/>
      <c r="AB46" s="35" t="n"/>
      <c r="AC46" s="35" t="n"/>
      <c r="AD46" s="35" t="n"/>
      <c r="AE46" s="35" t="n"/>
      <c r="AF46" s="35" t="n"/>
      <c r="AG46" s="35" t="n"/>
      <c r="AH46" s="35" t="n"/>
      <c r="AI46" s="35" t="n"/>
      <c r="AJ46" s="35" t="n"/>
      <c r="AK46" s="35" t="n"/>
      <c r="AL46" s="35" t="n"/>
      <c r="AM46" s="36" t="n"/>
    </row>
    <row r="47" ht="17" customHeight="1">
      <c r="A47" s="2" t="inlineStr">
        <is>
          <t>短流程提升降碳潜力(万吨CO2)</t>
        </is>
      </c>
      <c r="B47" s="7" t="n"/>
      <c r="C47" s="20">
        <f>(C25-11055.99)*1.26</f>
        <v/>
      </c>
      <c r="D47" s="20">
        <f>(D25-11055.99)*1.26</f>
        <v/>
      </c>
      <c r="E47" s="20">
        <f>(E25-11055.99)*1.26</f>
        <v/>
      </c>
      <c r="F47" s="20">
        <f>(F25-11055.99)*1.26</f>
        <v/>
      </c>
      <c r="G47" s="20">
        <f>(G25-11055.99)*1.26</f>
        <v/>
      </c>
      <c r="H47" s="20">
        <f>(H25-11055.99)*1.26</f>
        <v/>
      </c>
      <c r="I47" s="20">
        <f>(I25-11055.99)*1.26</f>
        <v/>
      </c>
      <c r="J47" s="20">
        <f>(J25-11055.99)*1.26</f>
        <v/>
      </c>
      <c r="K47" s="20">
        <f>(K25-11055.99)*1.26</f>
        <v/>
      </c>
      <c r="L47" s="20">
        <f>(L25-11055.99)*1.26</f>
        <v/>
      </c>
      <c r="M47" s="20">
        <f>(M25-11055.99)*1.26</f>
        <v/>
      </c>
      <c r="N47" s="20">
        <f>(N25-11055.99)*1.26</f>
        <v/>
      </c>
      <c r="O47" s="20">
        <f>(O25-11055.99)*1.26</f>
        <v/>
      </c>
      <c r="P47" s="20">
        <f>(P25-11055.99)*1.26</f>
        <v/>
      </c>
      <c r="Q47" s="20">
        <f>(Q25-11055.99)*1.26</f>
        <v/>
      </c>
      <c r="R47" s="20">
        <f>(R25-11055.99)*1.26</f>
        <v/>
      </c>
      <c r="S47" s="20">
        <f>(S25-11055.99)*1.26</f>
        <v/>
      </c>
      <c r="T47" s="20">
        <f>(T25-11055.99)*1.26</f>
        <v/>
      </c>
      <c r="U47" s="20">
        <f>(U25-11055.99)*1.26</f>
        <v/>
      </c>
      <c r="V47" s="20">
        <f>(V25-11055.99)*1.26</f>
        <v/>
      </c>
      <c r="W47" s="20">
        <f>(W25-11055.99)*1.26</f>
        <v/>
      </c>
      <c r="X47" s="20">
        <f>(X25-11055.99)*1.26</f>
        <v/>
      </c>
      <c r="Y47" s="20">
        <f>(Y25-11055.99)*1.26</f>
        <v/>
      </c>
      <c r="Z47" s="20">
        <f>(Z25-11055.99)*1.26</f>
        <v/>
      </c>
      <c r="AA47" s="20">
        <f>(AA25-11055.99)*1.26</f>
        <v/>
      </c>
      <c r="AB47" s="20">
        <f>(AB25-11055.99)*1.26</f>
        <v/>
      </c>
      <c r="AC47" s="20">
        <f>(AC25-11055.99)*1.26</f>
        <v/>
      </c>
      <c r="AD47" s="20">
        <f>(AD25-11055.99)*1.26</f>
        <v/>
      </c>
      <c r="AE47" s="20">
        <f>(AE25-11055.99)*1.26</f>
        <v/>
      </c>
      <c r="AF47" s="20">
        <f>(AF25-11055.99)*1.26</f>
        <v/>
      </c>
      <c r="AG47" s="20">
        <f>(AG25-11055.99)*1.26</f>
        <v/>
      </c>
      <c r="AH47" s="20">
        <f>(AH25-11055.99)*1.26</f>
        <v/>
      </c>
      <c r="AI47" s="20">
        <f>(AI25-11055.99)*1.26</f>
        <v/>
      </c>
      <c r="AJ47" s="20">
        <f>(AJ25-11055.99)*1.26</f>
        <v/>
      </c>
      <c r="AK47" s="20">
        <f>(AK25-11055.99)*1.26</f>
        <v/>
      </c>
      <c r="AL47" s="20">
        <f>(AL25-11055.99)*1.26</f>
        <v/>
      </c>
      <c r="AM47" s="20">
        <f>(AM25-11055.99)*1.26</f>
        <v/>
      </c>
    </row>
    <row r="48" ht="17" customHeight="1">
      <c r="A48" s="2" t="inlineStr">
        <is>
          <t>短流程提升碳排放曲线(万吨CO2)</t>
        </is>
      </c>
      <c r="B48" s="7">
        <f>原料曲线-短流程降碳</f>
        <v/>
      </c>
      <c r="C48" s="20">
        <f>C45-C47</f>
        <v/>
      </c>
      <c r="D48" s="20">
        <f>D45-D47</f>
        <v/>
      </c>
      <c r="E48" s="20">
        <f>E45-E47</f>
        <v/>
      </c>
      <c r="F48" s="20">
        <f>F45-F47</f>
        <v/>
      </c>
      <c r="G48" s="20">
        <f>G45-G47</f>
        <v/>
      </c>
      <c r="H48" s="20">
        <f>H45-H47</f>
        <v/>
      </c>
      <c r="I48" s="20">
        <f>I45-I47</f>
        <v/>
      </c>
      <c r="J48" s="20">
        <f>J45-J47</f>
        <v/>
      </c>
      <c r="K48" s="20">
        <f>K45-K47</f>
        <v/>
      </c>
      <c r="L48" s="20">
        <f>L45-L47</f>
        <v/>
      </c>
      <c r="M48" s="20">
        <f>M45-M47</f>
        <v/>
      </c>
      <c r="N48" s="20">
        <f>N45-N47</f>
        <v/>
      </c>
      <c r="O48" s="20">
        <f>O45-O47</f>
        <v/>
      </c>
      <c r="P48" s="20">
        <f>P45-P47</f>
        <v/>
      </c>
      <c r="Q48" s="20">
        <f>Q45-Q47</f>
        <v/>
      </c>
      <c r="R48" s="20">
        <f>R45-R47</f>
        <v/>
      </c>
      <c r="S48" s="20">
        <f>S45-S47</f>
        <v/>
      </c>
      <c r="T48" s="20">
        <f>T45-T47</f>
        <v/>
      </c>
      <c r="U48" s="20">
        <f>U45-U47</f>
        <v/>
      </c>
      <c r="V48" s="20">
        <f>V45-V47</f>
        <v/>
      </c>
      <c r="W48" s="20">
        <f>W45-W47</f>
        <v/>
      </c>
      <c r="X48" s="20">
        <f>X45-X47</f>
        <v/>
      </c>
      <c r="Y48" s="20">
        <f>Y45-Y47</f>
        <v/>
      </c>
      <c r="Z48" s="20">
        <f>Z45-Z47</f>
        <v/>
      </c>
      <c r="AA48" s="20">
        <f>AA45-AA47</f>
        <v/>
      </c>
      <c r="AB48" s="20">
        <f>AB45-AB47</f>
        <v/>
      </c>
      <c r="AC48" s="20">
        <f>AC45-AC47</f>
        <v/>
      </c>
      <c r="AD48" s="20">
        <f>AD45-AD47</f>
        <v/>
      </c>
      <c r="AE48" s="20">
        <f>AE45-AE47</f>
        <v/>
      </c>
      <c r="AF48" s="20">
        <f>AF45-AF47</f>
        <v/>
      </c>
      <c r="AG48" s="20">
        <f>AG45-AG47</f>
        <v/>
      </c>
      <c r="AH48" s="20">
        <f>AH45-AH47</f>
        <v/>
      </c>
      <c r="AI48" s="20">
        <f>AI45-AI47</f>
        <v/>
      </c>
      <c r="AJ48" s="20">
        <f>AJ45-AJ47</f>
        <v/>
      </c>
      <c r="AK48" s="20">
        <f>AK45-AK47</f>
        <v/>
      </c>
      <c r="AL48" s="20">
        <f>AL45-AL47</f>
        <v/>
      </c>
      <c r="AM48" s="20">
        <f>AM45-AM47</f>
        <v/>
      </c>
    </row>
    <row r="49">
      <c r="A49" s="40" t="inlineStr">
        <is>
          <t>8.4 氢冶金比例提升</t>
        </is>
      </c>
      <c r="B49" s="35" t="n"/>
      <c r="C49" s="35" t="n"/>
      <c r="D49" s="35" t="n"/>
      <c r="E49" s="35" t="n"/>
      <c r="F49" s="35" t="n"/>
      <c r="G49" s="35" t="n"/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5" t="n"/>
      <c r="S49" s="35" t="n"/>
      <c r="T49" s="35" t="n"/>
      <c r="U49" s="35" t="n"/>
      <c r="V49" s="35" t="n"/>
      <c r="W49" s="35" t="n"/>
      <c r="X49" s="35" t="n"/>
      <c r="Y49" s="35" t="n"/>
      <c r="Z49" s="35" t="n"/>
      <c r="AA49" s="35" t="n"/>
      <c r="AB49" s="35" t="n"/>
      <c r="AC49" s="35" t="n"/>
      <c r="AD49" s="35" t="n"/>
      <c r="AE49" s="35" t="n"/>
      <c r="AF49" s="35" t="n"/>
      <c r="AG49" s="35" t="n"/>
      <c r="AH49" s="35" t="n"/>
      <c r="AI49" s="35" t="n"/>
      <c r="AJ49" s="35" t="n"/>
      <c r="AK49" s="35" t="n"/>
      <c r="AL49" s="35" t="n"/>
      <c r="AM49" s="36" t="n"/>
    </row>
    <row r="50" ht="17" customHeight="1">
      <c r="A50" s="2" t="inlineStr">
        <is>
          <t>氢冶金提升降碳潜力(万吨CO2)</t>
        </is>
      </c>
      <c r="B50" s="7" t="n"/>
      <c r="C50" s="20">
        <f>((C27-952.52)/1.65)*1.26</f>
        <v/>
      </c>
      <c r="D50" s="20">
        <f>((D27-952.52)/1.65)*1.26</f>
        <v/>
      </c>
      <c r="E50" s="20">
        <f>((E27-952.52)/1.65)*1.26</f>
        <v/>
      </c>
      <c r="F50" s="20">
        <f>((F27-952.52)/1.65)*1.26</f>
        <v/>
      </c>
      <c r="G50" s="20">
        <f>((G27-952.52)/1.65)*1.26</f>
        <v/>
      </c>
      <c r="H50" s="20">
        <f>((H27-952.52)/1.65)*1.26</f>
        <v/>
      </c>
      <c r="I50" s="20">
        <f>((I27-952.52)/1.65)*1.26</f>
        <v/>
      </c>
      <c r="J50" s="20">
        <f>((J27-952.52)/1.65)*1.26</f>
        <v/>
      </c>
      <c r="K50" s="20">
        <f>((K27-952.52)/1.65)*1.26</f>
        <v/>
      </c>
      <c r="L50" s="20">
        <f>((L27-952.52)/1.65)*1.26</f>
        <v/>
      </c>
      <c r="M50" s="20">
        <f>((M27-952.52)/1.65)*1.26</f>
        <v/>
      </c>
      <c r="N50" s="20">
        <f>((N27-952.52)/1.65)*1.26</f>
        <v/>
      </c>
      <c r="O50" s="20">
        <f>((O27-952.52)/1.65)*1.26</f>
        <v/>
      </c>
      <c r="P50" s="20">
        <f>((P27-952.52)/1.65)*1.26</f>
        <v/>
      </c>
      <c r="Q50" s="20">
        <f>((Q27-952.52)/1.65)*1.26</f>
        <v/>
      </c>
      <c r="R50" s="20">
        <f>((R27-952.52)/1.65)*1.26</f>
        <v/>
      </c>
      <c r="S50" s="20">
        <f>((S27-952.52)/1.65)*1.26</f>
        <v/>
      </c>
      <c r="T50" s="20">
        <f>((T27-952.52)/1.65)*1.26</f>
        <v/>
      </c>
      <c r="U50" s="20">
        <f>((U27-952.52)/1.65)*1.26</f>
        <v/>
      </c>
      <c r="V50" s="20">
        <f>((V27-952.52)/1.65)*1.26</f>
        <v/>
      </c>
      <c r="W50" s="20">
        <f>((W27-952.52)/1.65)*1.26</f>
        <v/>
      </c>
      <c r="X50" s="20">
        <f>((X27-952.52)/1.65)*1.26</f>
        <v/>
      </c>
      <c r="Y50" s="20">
        <f>((Y27-952.52)/1.65)*1.26</f>
        <v/>
      </c>
      <c r="Z50" s="20">
        <f>((Z27-952.52)/1.65)*1.26</f>
        <v/>
      </c>
      <c r="AA50" s="20">
        <f>((AA27-952.52)/1.65)*1.26</f>
        <v/>
      </c>
      <c r="AB50" s="20">
        <f>((AB27-952.52)/1.65)*1.26</f>
        <v/>
      </c>
      <c r="AC50" s="20">
        <f>((AC27-952.52)/1.65)*1.26</f>
        <v/>
      </c>
      <c r="AD50" s="20">
        <f>((AD27-952.52)/1.65)*1.26</f>
        <v/>
      </c>
      <c r="AE50" s="20">
        <f>((AE27-952.52)/1.65)*1.26</f>
        <v/>
      </c>
      <c r="AF50" s="20">
        <f>((AF27-952.52)/1.65)*1.26</f>
        <v/>
      </c>
      <c r="AG50" s="20">
        <f>((AG27-952.52)/1.65)*1.26</f>
        <v/>
      </c>
      <c r="AH50" s="20">
        <f>((AH27-952.52)/1.65)*1.26</f>
        <v/>
      </c>
      <c r="AI50" s="20">
        <f>((AI27-952.52)/1.65)*1.26</f>
        <v/>
      </c>
      <c r="AJ50" s="20">
        <f>((AJ27-952.52)/1.65)*1.26</f>
        <v/>
      </c>
      <c r="AK50" s="20">
        <f>((AK27-952.52)/1.65)*1.26</f>
        <v/>
      </c>
      <c r="AL50" s="20">
        <f>((AL27-952.52)/1.65)*1.26</f>
        <v/>
      </c>
      <c r="AM50" s="20">
        <f>((AM27-952.52)/1.65)*1.26</f>
        <v/>
      </c>
    </row>
    <row r="51" ht="17" customHeight="1">
      <c r="A51" s="2" t="inlineStr">
        <is>
          <t>氢冶金提升碳排放曲线(万吨CO2)</t>
        </is>
      </c>
      <c r="B51" s="7">
        <f>短流程曲线-氢冶金降碳</f>
        <v/>
      </c>
      <c r="C51" s="20">
        <f>C48-C50</f>
        <v/>
      </c>
      <c r="D51" s="20">
        <f>D48-D50</f>
        <v/>
      </c>
      <c r="E51" s="20">
        <f>E48-E50</f>
        <v/>
      </c>
      <c r="F51" s="20">
        <f>F48-F50</f>
        <v/>
      </c>
      <c r="G51" s="20">
        <f>G48-G50</f>
        <v/>
      </c>
      <c r="H51" s="20">
        <f>H48-H50</f>
        <v/>
      </c>
      <c r="I51" s="20">
        <f>I48-I50</f>
        <v/>
      </c>
      <c r="J51" s="20">
        <f>J48-J50</f>
        <v/>
      </c>
      <c r="K51" s="20">
        <f>K48-K50</f>
        <v/>
      </c>
      <c r="L51" s="20">
        <f>L48-L50</f>
        <v/>
      </c>
      <c r="M51" s="20">
        <f>M48-M50</f>
        <v/>
      </c>
      <c r="N51" s="20">
        <f>N48-N50</f>
        <v/>
      </c>
      <c r="O51" s="20">
        <f>O48-O50</f>
        <v/>
      </c>
      <c r="P51" s="20">
        <f>P48-P50</f>
        <v/>
      </c>
      <c r="Q51" s="20">
        <f>Q48-Q50</f>
        <v/>
      </c>
      <c r="R51" s="20">
        <f>R48-R50</f>
        <v/>
      </c>
      <c r="S51" s="20">
        <f>S48-S50</f>
        <v/>
      </c>
      <c r="T51" s="20">
        <f>T48-T50</f>
        <v/>
      </c>
      <c r="U51" s="20">
        <f>U48-U50</f>
        <v/>
      </c>
      <c r="V51" s="20">
        <f>V48-V50</f>
        <v/>
      </c>
      <c r="W51" s="20">
        <f>W48-W50</f>
        <v/>
      </c>
      <c r="X51" s="20">
        <f>X48-X50</f>
        <v/>
      </c>
      <c r="Y51" s="20">
        <f>Y48-Y50</f>
        <v/>
      </c>
      <c r="Z51" s="20">
        <f>Z48-Z50</f>
        <v/>
      </c>
      <c r="AA51" s="20">
        <f>AA48-AA50</f>
        <v/>
      </c>
      <c r="AB51" s="20">
        <f>AB48-AB50</f>
        <v/>
      </c>
      <c r="AC51" s="20">
        <f>AC48-AC50</f>
        <v/>
      </c>
      <c r="AD51" s="20">
        <f>AD48-AD50</f>
        <v/>
      </c>
      <c r="AE51" s="20">
        <f>AE48-AE50</f>
        <v/>
      </c>
      <c r="AF51" s="20">
        <f>AF48-AF50</f>
        <v/>
      </c>
      <c r="AG51" s="20">
        <f>AG48-AG50</f>
        <v/>
      </c>
      <c r="AH51" s="20">
        <f>AH48-AH50</f>
        <v/>
      </c>
      <c r="AI51" s="20">
        <f>AI48-AI50</f>
        <v/>
      </c>
      <c r="AJ51" s="20">
        <f>AJ48-AJ50</f>
        <v/>
      </c>
      <c r="AK51" s="20">
        <f>AK48-AK50</f>
        <v/>
      </c>
      <c r="AL51" s="20">
        <f>AL48-AL50</f>
        <v/>
      </c>
      <c r="AM51" s="20">
        <f>AM48-AM50</f>
        <v/>
      </c>
    </row>
    <row r="52">
      <c r="A52" s="40" t="inlineStr">
        <is>
          <t>8.5 能源结构(绿电)</t>
        </is>
      </c>
      <c r="B52" s="35" t="n"/>
      <c r="C52" s="35" t="n"/>
      <c r="D52" s="35" t="n"/>
      <c r="E52" s="35" t="n"/>
      <c r="F52" s="35" t="n"/>
      <c r="G52" s="35" t="n"/>
      <c r="H52" s="35" t="n"/>
      <c r="I52" s="35" t="n"/>
      <c r="J52" s="35" t="n"/>
      <c r="K52" s="35" t="n"/>
      <c r="L52" s="35" t="n"/>
      <c r="M52" s="35" t="n"/>
      <c r="N52" s="35" t="n"/>
      <c r="O52" s="35" t="n"/>
      <c r="P52" s="35" t="n"/>
      <c r="Q52" s="35" t="n"/>
      <c r="R52" s="35" t="n"/>
      <c r="S52" s="35" t="n"/>
      <c r="T52" s="35" t="n"/>
      <c r="U52" s="35" t="n"/>
      <c r="V52" s="35" t="n"/>
      <c r="W52" s="35" t="n"/>
      <c r="X52" s="35" t="n"/>
      <c r="Y52" s="35" t="n"/>
      <c r="Z52" s="35" t="n"/>
      <c r="AA52" s="35" t="n"/>
      <c r="AB52" s="35" t="n"/>
      <c r="AC52" s="35" t="n"/>
      <c r="AD52" s="35" t="n"/>
      <c r="AE52" s="35" t="n"/>
      <c r="AF52" s="35" t="n"/>
      <c r="AG52" s="35" t="n"/>
      <c r="AH52" s="35" t="n"/>
      <c r="AI52" s="35" t="n"/>
      <c r="AJ52" s="35" t="n"/>
      <c r="AK52" s="35" t="n"/>
      <c r="AL52" s="35" t="n"/>
      <c r="AM52" s="36" t="n"/>
    </row>
    <row r="53" ht="17" customHeight="1">
      <c r="A53" s="2" t="inlineStr">
        <is>
          <t>绿电降碳潜力(万吨CO2)</t>
        </is>
      </c>
      <c r="B53" s="7">
        <f>绿电量×0.5306/1000</f>
        <v/>
      </c>
      <c r="C53" s="20">
        <f>C33*0.5306/1000</f>
        <v/>
      </c>
      <c r="D53" s="20">
        <f>D33*0.5306/1000</f>
        <v/>
      </c>
      <c r="E53" s="20">
        <f>E33*0.5306/1000</f>
        <v/>
      </c>
      <c r="F53" s="20">
        <f>F33*0.5306/1000</f>
        <v/>
      </c>
      <c r="G53" s="20">
        <f>G33*0.5306/1000</f>
        <v/>
      </c>
      <c r="H53" s="20">
        <f>H33*0.5306/1000</f>
        <v/>
      </c>
      <c r="I53" s="20">
        <f>I33*0.5306/1000</f>
        <v/>
      </c>
      <c r="J53" s="20">
        <f>J33*0.5306/1000</f>
        <v/>
      </c>
      <c r="K53" s="20">
        <f>K33*0.5306/1000</f>
        <v/>
      </c>
      <c r="L53" s="20">
        <f>L33*0.5306/1000</f>
        <v/>
      </c>
      <c r="M53" s="20">
        <f>M33*0.5306/1000</f>
        <v/>
      </c>
      <c r="N53" s="20">
        <f>N33*0.5306/1000</f>
        <v/>
      </c>
      <c r="O53" s="20">
        <f>O33*0.5306/1000</f>
        <v/>
      </c>
      <c r="P53" s="20">
        <f>P33*0.5306/1000</f>
        <v/>
      </c>
      <c r="Q53" s="20">
        <f>Q33*0.5306/1000</f>
        <v/>
      </c>
      <c r="R53" s="20">
        <f>R33*0.5306/1000</f>
        <v/>
      </c>
      <c r="S53" s="20">
        <f>S33*0.5306/1000</f>
        <v/>
      </c>
      <c r="T53" s="20">
        <f>T33*0.5306/1000</f>
        <v/>
      </c>
      <c r="U53" s="20">
        <f>U33*0.5306/1000</f>
        <v/>
      </c>
      <c r="V53" s="20">
        <f>V33*0.5306/1000</f>
        <v/>
      </c>
      <c r="W53" s="20">
        <f>W33*0.5306/1000</f>
        <v/>
      </c>
      <c r="X53" s="20">
        <f>X33*0.5306/1000</f>
        <v/>
      </c>
      <c r="Y53" s="20">
        <f>Y33*0.5306/1000</f>
        <v/>
      </c>
      <c r="Z53" s="20">
        <f>Z33*0.5306/1000</f>
        <v/>
      </c>
      <c r="AA53" s="20">
        <f>AA33*0.5306/1000</f>
        <v/>
      </c>
      <c r="AB53" s="20">
        <f>AB33*0.5306/1000</f>
        <v/>
      </c>
      <c r="AC53" s="20">
        <f>AC33*0.5306/1000</f>
        <v/>
      </c>
      <c r="AD53" s="20">
        <f>AD33*0.5306/1000</f>
        <v/>
      </c>
      <c r="AE53" s="20">
        <f>AE33*0.5306/1000</f>
        <v/>
      </c>
      <c r="AF53" s="20">
        <f>AF33*0.5306/1000</f>
        <v/>
      </c>
      <c r="AG53" s="20">
        <f>AG33*0.5306/1000</f>
        <v/>
      </c>
      <c r="AH53" s="20">
        <f>AH33*0.5306/1000</f>
        <v/>
      </c>
      <c r="AI53" s="20">
        <f>AI33*0.5306/1000</f>
        <v/>
      </c>
      <c r="AJ53" s="20">
        <f>AJ33*0.5306/1000</f>
        <v/>
      </c>
      <c r="AK53" s="20">
        <f>AK33*0.5306/1000</f>
        <v/>
      </c>
      <c r="AL53" s="20">
        <f>AL33*0.5306/1000</f>
        <v/>
      </c>
      <c r="AM53" s="20">
        <f>AM33*0.5306/1000</f>
        <v/>
      </c>
    </row>
    <row r="54" ht="17" customHeight="1">
      <c r="A54" s="2" t="inlineStr">
        <is>
          <t>能源结构碳排放曲线(万吨CO2)</t>
        </is>
      </c>
      <c r="B54" s="7">
        <f>氢冶金曲线-绿电降碳</f>
        <v/>
      </c>
      <c r="C54" s="20">
        <f>C51-C53</f>
        <v/>
      </c>
      <c r="D54" s="20">
        <f>D51-D53</f>
        <v/>
      </c>
      <c r="E54" s="20">
        <f>E51-E53</f>
        <v/>
      </c>
      <c r="F54" s="20">
        <f>F51-F53</f>
        <v/>
      </c>
      <c r="G54" s="20">
        <f>G51-G53</f>
        <v/>
      </c>
      <c r="H54" s="20">
        <f>H51-H53</f>
        <v/>
      </c>
      <c r="I54" s="20">
        <f>I51-I53</f>
        <v/>
      </c>
      <c r="J54" s="20">
        <f>J51-J53</f>
        <v/>
      </c>
      <c r="K54" s="20">
        <f>K51-K53</f>
        <v/>
      </c>
      <c r="L54" s="20">
        <f>L51-L53</f>
        <v/>
      </c>
      <c r="M54" s="20">
        <f>M51-M53</f>
        <v/>
      </c>
      <c r="N54" s="20">
        <f>N51-N53</f>
        <v/>
      </c>
      <c r="O54" s="20">
        <f>O51-O53</f>
        <v/>
      </c>
      <c r="P54" s="20">
        <f>P51-P53</f>
        <v/>
      </c>
      <c r="Q54" s="20">
        <f>Q51-Q53</f>
        <v/>
      </c>
      <c r="R54" s="20">
        <f>R51-R53</f>
        <v/>
      </c>
      <c r="S54" s="20">
        <f>S51-S53</f>
        <v/>
      </c>
      <c r="T54" s="20">
        <f>T51-T53</f>
        <v/>
      </c>
      <c r="U54" s="20">
        <f>U51-U53</f>
        <v/>
      </c>
      <c r="V54" s="20">
        <f>V51-V53</f>
        <v/>
      </c>
      <c r="W54" s="20">
        <f>W51-W53</f>
        <v/>
      </c>
      <c r="X54" s="20">
        <f>X51-X53</f>
        <v/>
      </c>
      <c r="Y54" s="20">
        <f>Y51-Y53</f>
        <v/>
      </c>
      <c r="Z54" s="20">
        <f>Z51-Z53</f>
        <v/>
      </c>
      <c r="AA54" s="20">
        <f>AA51-AA53</f>
        <v/>
      </c>
      <c r="AB54" s="20">
        <f>AB51-AB53</f>
        <v/>
      </c>
      <c r="AC54" s="20">
        <f>AC51-AC53</f>
        <v/>
      </c>
      <c r="AD54" s="20">
        <f>AD51-AD53</f>
        <v/>
      </c>
      <c r="AE54" s="20">
        <f>AE51-AE53</f>
        <v/>
      </c>
      <c r="AF54" s="20">
        <f>AF51-AF53</f>
        <v/>
      </c>
      <c r="AG54" s="20">
        <f>AG51-AG53</f>
        <v/>
      </c>
      <c r="AH54" s="20">
        <f>AH51-AH53</f>
        <v/>
      </c>
      <c r="AI54" s="20">
        <f>AI51-AI53</f>
        <v/>
      </c>
      <c r="AJ54" s="20">
        <f>AJ51-AJ53</f>
        <v/>
      </c>
      <c r="AK54" s="20">
        <f>AK51-AK53</f>
        <v/>
      </c>
      <c r="AL54" s="20">
        <f>AL51-AL53</f>
        <v/>
      </c>
      <c r="AM54" s="20">
        <f>AM51-AM53</f>
        <v/>
      </c>
    </row>
    <row r="55">
      <c r="A55" s="40" t="inlineStr">
        <is>
          <t>8.6 低碳工艺技术</t>
        </is>
      </c>
      <c r="B55" s="35" t="n"/>
      <c r="C55" s="35" t="n"/>
      <c r="D55" s="35" t="n"/>
      <c r="E55" s="35" t="n"/>
      <c r="F55" s="35" t="n"/>
      <c r="G55" s="35" t="n"/>
      <c r="H55" s="35" t="n"/>
      <c r="I55" s="35" t="n"/>
      <c r="J55" s="35" t="n"/>
      <c r="K55" s="35" t="n"/>
      <c r="L55" s="35" t="n"/>
      <c r="M55" s="35" t="n"/>
      <c r="N55" s="35" t="n"/>
      <c r="O55" s="35" t="n"/>
      <c r="P55" s="35" t="n"/>
      <c r="Q55" s="35" t="n"/>
      <c r="R55" s="35" t="n"/>
      <c r="S55" s="35" t="n"/>
      <c r="T55" s="35" t="n"/>
      <c r="U55" s="35" t="n"/>
      <c r="V55" s="35" t="n"/>
      <c r="W55" s="35" t="n"/>
      <c r="X55" s="35" t="n"/>
      <c r="Y55" s="35" t="n"/>
      <c r="Z55" s="35" t="n"/>
      <c r="AA55" s="35" t="n"/>
      <c r="AB55" s="35" t="n"/>
      <c r="AC55" s="35" t="n"/>
      <c r="AD55" s="35" t="n"/>
      <c r="AE55" s="35" t="n"/>
      <c r="AF55" s="35" t="n"/>
      <c r="AG55" s="35" t="n"/>
      <c r="AH55" s="35" t="n"/>
      <c r="AI55" s="35" t="n"/>
      <c r="AJ55" s="35" t="n"/>
      <c r="AK55" s="35" t="n"/>
      <c r="AL55" s="35" t="n"/>
      <c r="AM55" s="36" t="n"/>
    </row>
    <row r="56" ht="17" customHeight="1">
      <c r="A56" s="2" t="inlineStr">
        <is>
          <t>低碳工艺降碳潜力(万吨CO2)</t>
        </is>
      </c>
      <c r="B56" s="7">
        <f>产量×累计技术潜力</f>
        <v/>
      </c>
      <c r="C56" s="20">
        <f>C13*C37</f>
        <v/>
      </c>
      <c r="D56" s="20">
        <f>D13*D37</f>
        <v/>
      </c>
      <c r="E56" s="20">
        <f>E13*E37</f>
        <v/>
      </c>
      <c r="F56" s="20">
        <f>F13*F37</f>
        <v/>
      </c>
      <c r="G56" s="20">
        <f>G13*G37</f>
        <v/>
      </c>
      <c r="H56" s="20">
        <f>H13*H37</f>
        <v/>
      </c>
      <c r="I56" s="20">
        <f>I13*I37</f>
        <v/>
      </c>
      <c r="J56" s="20">
        <f>J13*J37</f>
        <v/>
      </c>
      <c r="K56" s="20">
        <f>K13*K37</f>
        <v/>
      </c>
      <c r="L56" s="20">
        <f>L13*L37</f>
        <v/>
      </c>
      <c r="M56" s="20">
        <f>M13*M37</f>
        <v/>
      </c>
      <c r="N56" s="20">
        <f>N13*N37</f>
        <v/>
      </c>
      <c r="O56" s="20">
        <f>O13*O37</f>
        <v/>
      </c>
      <c r="P56" s="20">
        <f>P13*P37</f>
        <v/>
      </c>
      <c r="Q56" s="20">
        <f>Q13*Q37</f>
        <v/>
      </c>
      <c r="R56" s="20">
        <f>R13*R37</f>
        <v/>
      </c>
      <c r="S56" s="20">
        <f>S13*S37</f>
        <v/>
      </c>
      <c r="T56" s="20">
        <f>T13*T37</f>
        <v/>
      </c>
      <c r="U56" s="20">
        <f>U13*U37</f>
        <v/>
      </c>
      <c r="V56" s="20">
        <f>V13*V37</f>
        <v/>
      </c>
      <c r="W56" s="20">
        <f>W13*W37</f>
        <v/>
      </c>
      <c r="X56" s="20">
        <f>X13*X37</f>
        <v/>
      </c>
      <c r="Y56" s="20">
        <f>Y13*Y37</f>
        <v/>
      </c>
      <c r="Z56" s="20">
        <f>Z13*Z37</f>
        <v/>
      </c>
      <c r="AA56" s="20">
        <f>AA13*AA37</f>
        <v/>
      </c>
      <c r="AB56" s="20">
        <f>AB13*AB37</f>
        <v/>
      </c>
      <c r="AC56" s="20">
        <f>AC13*AC37</f>
        <v/>
      </c>
      <c r="AD56" s="20">
        <f>AD13*AD37</f>
        <v/>
      </c>
      <c r="AE56" s="20">
        <f>AE13*AE37</f>
        <v/>
      </c>
      <c r="AF56" s="20">
        <f>AF13*AF37</f>
        <v/>
      </c>
      <c r="AG56" s="20">
        <f>AG13*AG37</f>
        <v/>
      </c>
      <c r="AH56" s="20">
        <f>AH13*AH37</f>
        <v/>
      </c>
      <c r="AI56" s="20">
        <f>AI13*AI37</f>
        <v/>
      </c>
      <c r="AJ56" s="20">
        <f>AJ13*AJ37</f>
        <v/>
      </c>
      <c r="AK56" s="20">
        <f>AK13*AK37</f>
        <v/>
      </c>
      <c r="AL56" s="20">
        <f>AL13*AL37</f>
        <v/>
      </c>
      <c r="AM56" s="20">
        <f>AM13*AM37</f>
        <v/>
      </c>
    </row>
    <row r="57" ht="17" customHeight="1">
      <c r="A57" s="2" t="inlineStr">
        <is>
          <t>低碳工艺碳排放曲线(万吨CO2)</t>
        </is>
      </c>
      <c r="B57" s="7">
        <f>能源曲线-技术降碳</f>
        <v/>
      </c>
      <c r="C57" s="20">
        <f>C54-C56</f>
        <v/>
      </c>
      <c r="D57" s="20">
        <f>D54-D56</f>
        <v/>
      </c>
      <c r="E57" s="20">
        <f>E54-E56</f>
        <v/>
      </c>
      <c r="F57" s="20">
        <f>F54-F56</f>
        <v/>
      </c>
      <c r="G57" s="20">
        <f>G54-G56</f>
        <v/>
      </c>
      <c r="H57" s="20">
        <f>H54-H56</f>
        <v/>
      </c>
      <c r="I57" s="20">
        <f>I54-I56</f>
        <v/>
      </c>
      <c r="J57" s="20">
        <f>J54-J56</f>
        <v/>
      </c>
      <c r="K57" s="20">
        <f>K54-K56</f>
        <v/>
      </c>
      <c r="L57" s="20">
        <f>L54-L56</f>
        <v/>
      </c>
      <c r="M57" s="20">
        <f>M54-M56</f>
        <v/>
      </c>
      <c r="N57" s="20">
        <f>N54-N56</f>
        <v/>
      </c>
      <c r="O57" s="20">
        <f>O54-O56</f>
        <v/>
      </c>
      <c r="P57" s="20">
        <f>P54-P56</f>
        <v/>
      </c>
      <c r="Q57" s="20">
        <f>Q54-Q56</f>
        <v/>
      </c>
      <c r="R57" s="20">
        <f>R54-R56</f>
        <v/>
      </c>
      <c r="S57" s="20">
        <f>S54-S56</f>
        <v/>
      </c>
      <c r="T57" s="20">
        <f>T54-T56</f>
        <v/>
      </c>
      <c r="U57" s="20">
        <f>U54-U56</f>
        <v/>
      </c>
      <c r="V57" s="20">
        <f>V54-V56</f>
        <v/>
      </c>
      <c r="W57" s="20">
        <f>W54-W56</f>
        <v/>
      </c>
      <c r="X57" s="20">
        <f>X54-X56</f>
        <v/>
      </c>
      <c r="Y57" s="20">
        <f>Y54-Y56</f>
        <v/>
      </c>
      <c r="Z57" s="20">
        <f>Z54-Z56</f>
        <v/>
      </c>
      <c r="AA57" s="20">
        <f>AA54-AA56</f>
        <v/>
      </c>
      <c r="AB57" s="20">
        <f>AB54-AB56</f>
        <v/>
      </c>
      <c r="AC57" s="20">
        <f>AC54-AC56</f>
        <v/>
      </c>
      <c r="AD57" s="20">
        <f>AD54-AD56</f>
        <v/>
      </c>
      <c r="AE57" s="20">
        <f>AE54-AE56</f>
        <v/>
      </c>
      <c r="AF57" s="20">
        <f>AF54-AF56</f>
        <v/>
      </c>
      <c r="AG57" s="20">
        <f>AG54-AG56</f>
        <v/>
      </c>
      <c r="AH57" s="20">
        <f>AH54-AH56</f>
        <v/>
      </c>
      <c r="AI57" s="20">
        <f>AI54-AI56</f>
        <v/>
      </c>
      <c r="AJ57" s="20">
        <f>AJ54-AJ56</f>
        <v/>
      </c>
      <c r="AK57" s="20">
        <f>AK54-AK56</f>
        <v/>
      </c>
      <c r="AL57" s="20">
        <f>AL54-AL56</f>
        <v/>
      </c>
      <c r="AM57" s="20">
        <f>AM54-AM56</f>
        <v/>
      </c>
    </row>
    <row r="58">
      <c r="A58" s="40" t="inlineStr">
        <is>
          <t>8.7 CCUS</t>
        </is>
      </c>
      <c r="B58" s="35" t="n"/>
      <c r="C58" s="35" t="n"/>
      <c r="D58" s="35" t="n"/>
      <c r="E58" s="35" t="n"/>
      <c r="F58" s="35" t="n"/>
      <c r="G58" s="35" t="n"/>
      <c r="H58" s="35" t="n"/>
      <c r="I58" s="35" t="n"/>
      <c r="J58" s="35" t="n"/>
      <c r="K58" s="35" t="n"/>
      <c r="L58" s="35" t="n"/>
      <c r="M58" s="35" t="n"/>
      <c r="N58" s="35" t="n"/>
      <c r="O58" s="35" t="n"/>
      <c r="P58" s="35" t="n"/>
      <c r="Q58" s="35" t="n"/>
      <c r="R58" s="35" t="n"/>
      <c r="S58" s="35" t="n"/>
      <c r="T58" s="35" t="n"/>
      <c r="U58" s="35" t="n"/>
      <c r="V58" s="35" t="n"/>
      <c r="W58" s="35" t="n"/>
      <c r="X58" s="35" t="n"/>
      <c r="Y58" s="35" t="n"/>
      <c r="Z58" s="35" t="n"/>
      <c r="AA58" s="35" t="n"/>
      <c r="AB58" s="35" t="n"/>
      <c r="AC58" s="35" t="n"/>
      <c r="AD58" s="35" t="n"/>
      <c r="AE58" s="35" t="n"/>
      <c r="AF58" s="35" t="n"/>
      <c r="AG58" s="35" t="n"/>
      <c r="AH58" s="35" t="n"/>
      <c r="AI58" s="35" t="n"/>
      <c r="AJ58" s="35" t="n"/>
      <c r="AK58" s="35" t="n"/>
      <c r="AL58" s="35" t="n"/>
      <c r="AM58" s="36" t="n"/>
    </row>
    <row r="59" ht="17" customHeight="1">
      <c r="A59" s="2" t="inlineStr">
        <is>
          <t>CCUS动态比例</t>
        </is>
      </c>
      <c r="B59" s="7" t="inlineStr">
        <is>
          <t>配平比例(2035前=0)</t>
        </is>
      </c>
      <c r="C59" s="44" t="n">
        <v>0</v>
      </c>
      <c r="D59" s="44">
        <f>MAX(0,MIN(0.98,IF(D57&gt;0,1-汇总对比与可视化看板!F4*D13/D57,0)))</f>
        <v/>
      </c>
      <c r="E59" s="44">
        <f>MAX(0,MIN(0.98,IF(E57&gt;0,1-汇总对比与可视化看板!F5*E13/E57,0)))</f>
        <v/>
      </c>
      <c r="F59" s="44">
        <f>MAX(0,MIN(0.98,IF(F57&gt;0,1-汇总对比与可视化看板!F6*F13/F57,0)))</f>
        <v/>
      </c>
      <c r="G59" s="44">
        <f>MAX(0,MIN(0.98,IF(G57&gt;0,1-汇总对比与可视化看板!F7*G13/G57,0)))</f>
        <v/>
      </c>
      <c r="H59" s="44">
        <f>MAX(0,MIN(0.98,IF(H57&gt;0,1-汇总对比与可视化看板!F8*H13/H57,0)))</f>
        <v/>
      </c>
      <c r="I59" s="44">
        <f>MAX(0,MIN(0.98,IF(I57&gt;0,1-汇总对比与可视化看板!F9*I13/I57,0)))</f>
        <v/>
      </c>
      <c r="J59" s="44">
        <f>MAX(0,MIN(0.98,IF(J57&gt;0,1-汇总对比与可视化看板!F10*J13/J57,0)))</f>
        <v/>
      </c>
      <c r="K59" s="44">
        <f>MAX(0,MIN(0.98,IF(K57&gt;0,1-汇总对比与可视化看板!F11*K13/K57,0)))</f>
        <v/>
      </c>
      <c r="L59" s="44">
        <f>MAX(0,MIN(0.98,IF(L57&gt;0,1-汇总对比与可视化看板!F12*L13/L57,0)))</f>
        <v/>
      </c>
      <c r="M59" s="44">
        <f>MAX(0,MIN(0.98,IF(M57&gt;0,1-汇总对比与可视化看板!F13*M13/M57,0)))</f>
        <v/>
      </c>
      <c r="N59" s="44">
        <f>MAX(0,MIN(0.98,IF(N57&gt;0,1-汇总对比与可视化看板!F14*N13/N57,0)))</f>
        <v/>
      </c>
      <c r="O59" s="44">
        <f>MAX(0,MIN(0.98,IF(O57&gt;0,1-汇总对比与可视化看板!F15*O13/O57,0)))</f>
        <v/>
      </c>
      <c r="P59" s="44">
        <f>MAX(0,MIN(0.98,IF(P57&gt;0,1-汇总对比与可视化看板!F16*P13/P57,0)))</f>
        <v/>
      </c>
      <c r="Q59" s="44">
        <f>MAX(0,MIN(0.98,IF(Q57&gt;0,1-汇总对比与可视化看板!F17*Q13/Q57,0)))</f>
        <v/>
      </c>
      <c r="R59" s="44">
        <f>MAX(0,MIN(0.98,IF(R57&gt;0,1-汇总对比与可视化看板!F18*R13/R57,0)))</f>
        <v/>
      </c>
      <c r="S59" s="44">
        <f>MAX(0,MIN(0.98,IF(S57&gt;0,1-汇总对比与可视化看板!F19*S13/S57,0)))</f>
        <v/>
      </c>
      <c r="T59" s="44">
        <f>MAX(0,MIN(0.98,IF(T57&gt;0,1-汇总对比与可视化看板!F20*T13/T57,0)))</f>
        <v/>
      </c>
      <c r="U59" s="44">
        <f>MAX(0,MIN(0.98,IF(U57&gt;0,1-汇总对比与可视化看板!F21*U13/U57,0)))</f>
        <v/>
      </c>
      <c r="V59" s="44">
        <f>MAX(0,MIN(0.98,IF(V57&gt;0,1-汇总对比与可视化看板!F22*V13/V57,0)))</f>
        <v/>
      </c>
      <c r="W59" s="44">
        <f>MAX(0,MIN(0.98,IF(W57&gt;0,1-汇总对比与可视化看板!F23*W13/W57,0)))</f>
        <v/>
      </c>
      <c r="X59" s="44">
        <f>MAX(0,MIN(0.98,IF(X57&gt;0,1-汇总对比与可视化看板!F24*X13/X57,0)))</f>
        <v/>
      </c>
      <c r="Y59" s="44">
        <f>MAX(0,MIN(0.98,IF(Y57&gt;0,1-汇总对比与可视化看板!F25*Y13/Y57,0)))</f>
        <v/>
      </c>
      <c r="Z59" s="44">
        <f>MAX(0,MIN(0.98,IF(Z57&gt;0,1-汇总对比与可视化看板!F26*Z13/Z57,0)))</f>
        <v/>
      </c>
      <c r="AA59" s="44">
        <f>MAX(0,MIN(0.98,IF(AA57&gt;0,1-汇总对比与可视化看板!F27*AA13/AA57,0)))</f>
        <v/>
      </c>
      <c r="AB59" s="44">
        <f>MAX(0,MIN(0.98,IF(AB57&gt;0,1-汇总对比与可视化看板!F28*AB13/AB57,0)))</f>
        <v/>
      </c>
      <c r="AC59" s="44">
        <f>MAX(0,MIN(0.98,IF(AC57&gt;0,1-汇总对比与可视化看板!F29*AC13/AC57,0)))</f>
        <v/>
      </c>
      <c r="AD59" s="44">
        <f>MAX(0,MIN(0.98,IF(AD57&gt;0,1-汇总对比与可视化看板!F30*AD13/AD57,0)))</f>
        <v/>
      </c>
      <c r="AE59" s="44">
        <f>MAX(0,MIN(0.98,IF(AE57&gt;0,1-汇总对比与可视化看板!F31*AE13/AE57,0)))</f>
        <v/>
      </c>
      <c r="AF59" s="44">
        <f>MAX(0,MIN(0.98,IF(AF57&gt;0,1-汇总对比与可视化看板!F32*AF13/AF57,0)))</f>
        <v/>
      </c>
      <c r="AG59" s="44">
        <f>MAX(0,MIN(0.98,IF(AG57&gt;0,1-汇总对比与可视化看板!F33*AG13/AG57,0)))</f>
        <v/>
      </c>
      <c r="AH59" s="44">
        <f>MAX(0,MIN(0.98,IF(AH57&gt;0,1-汇总对比与可视化看板!F34*AH13/AH57,0)))</f>
        <v/>
      </c>
      <c r="AI59" s="44">
        <f>MAX(0,MIN(0.98,IF(AI57&gt;0,1-汇总对比与可视化看板!F35*AI13/AI57,0)))</f>
        <v/>
      </c>
      <c r="AJ59" s="44">
        <f>MAX(0,MIN(0.98,IF(AJ57&gt;0,1-汇总对比与可视化看板!F36*AJ13/AJ57,0)))</f>
        <v/>
      </c>
      <c r="AK59" s="44">
        <f>MAX(0,MIN(0.98,IF(AK57&gt;0,1-汇总对比与可视化看板!F37*AK13/AK57,0)))</f>
        <v/>
      </c>
      <c r="AL59" s="44">
        <f>MAX(0,MIN(0.98,IF(AL57&gt;0,1-汇总对比与可视化看板!F38*AL13/AL57,0)))</f>
        <v/>
      </c>
      <c r="AM59" s="44">
        <f>MAX(0,MIN(0.98,IF(AM57&gt;0,1-汇总对比与可视化看板!F39*AM13/AM57,0)))</f>
        <v/>
      </c>
    </row>
    <row r="60" ht="17" customHeight="1">
      <c r="A60" s="5" t="inlineStr">
        <is>
          <t>CCUS捕集量(万吨CO2)</t>
        </is>
      </c>
      <c r="B60" s="7">
        <f>工艺曲线×CCUS比例</f>
        <v/>
      </c>
      <c r="C60" s="28">
        <f>C57*C59</f>
        <v/>
      </c>
      <c r="D60" s="28">
        <f>D57*D59</f>
        <v/>
      </c>
      <c r="E60" s="28">
        <f>E57*E59</f>
        <v/>
      </c>
      <c r="F60" s="28">
        <f>F57*F59</f>
        <v/>
      </c>
      <c r="G60" s="28">
        <f>G57*G59</f>
        <v/>
      </c>
      <c r="H60" s="28">
        <f>H57*H59</f>
        <v/>
      </c>
      <c r="I60" s="28">
        <f>I57*I59</f>
        <v/>
      </c>
      <c r="J60" s="28">
        <f>J57*J59</f>
        <v/>
      </c>
      <c r="K60" s="28">
        <f>K57*K59</f>
        <v/>
      </c>
      <c r="L60" s="28">
        <f>L57*L59</f>
        <v/>
      </c>
      <c r="M60" s="28">
        <f>M57*M59</f>
        <v/>
      </c>
      <c r="N60" s="28">
        <f>N57*N59</f>
        <v/>
      </c>
      <c r="O60" s="28">
        <f>O57*O59</f>
        <v/>
      </c>
      <c r="P60" s="28">
        <f>P57*P59</f>
        <v/>
      </c>
      <c r="Q60" s="28">
        <f>Q57*Q59</f>
        <v/>
      </c>
      <c r="R60" s="28">
        <f>R57*R59</f>
        <v/>
      </c>
      <c r="S60" s="28">
        <f>S57*S59</f>
        <v/>
      </c>
      <c r="T60" s="28">
        <f>T57*T59</f>
        <v/>
      </c>
      <c r="U60" s="28">
        <f>U57*U59</f>
        <v/>
      </c>
      <c r="V60" s="28">
        <f>V57*V59</f>
        <v/>
      </c>
      <c r="W60" s="28">
        <f>W57*W59</f>
        <v/>
      </c>
      <c r="X60" s="28">
        <f>X57*X59</f>
        <v/>
      </c>
      <c r="Y60" s="28">
        <f>Y57*Y59</f>
        <v/>
      </c>
      <c r="Z60" s="28">
        <f>Z57*Z59</f>
        <v/>
      </c>
      <c r="AA60" s="28">
        <f>AA57*AA59</f>
        <v/>
      </c>
      <c r="AB60" s="28">
        <f>AB57*AB59</f>
        <v/>
      </c>
      <c r="AC60" s="28">
        <f>AC57*AC59</f>
        <v/>
      </c>
      <c r="AD60" s="28">
        <f>AD57*AD59</f>
        <v/>
      </c>
      <c r="AE60" s="28">
        <f>AE57*AE59</f>
        <v/>
      </c>
      <c r="AF60" s="28">
        <f>AF57*AF59</f>
        <v/>
      </c>
      <c r="AG60" s="28">
        <f>AG57*AG59</f>
        <v/>
      </c>
      <c r="AH60" s="28">
        <f>AH57*AH59</f>
        <v/>
      </c>
      <c r="AI60" s="28">
        <f>AI57*AI59</f>
        <v/>
      </c>
      <c r="AJ60" s="28">
        <f>AJ57*AJ59</f>
        <v/>
      </c>
      <c r="AK60" s="28">
        <f>AK57*AK59</f>
        <v/>
      </c>
      <c r="AL60" s="28">
        <f>AL57*AL59</f>
        <v/>
      </c>
      <c r="AM60" s="28">
        <f>AM57*AM59</f>
        <v/>
      </c>
    </row>
    <row r="61">
      <c r="A61" s="40" t="inlineStr">
        <is>
          <t>8.8 最终结果</t>
        </is>
      </c>
      <c r="B61" s="35" t="n"/>
      <c r="C61" s="35" t="n"/>
      <c r="D61" s="35" t="n"/>
      <c r="E61" s="35" t="n"/>
      <c r="F61" s="35" t="n"/>
      <c r="G61" s="35" t="n"/>
      <c r="H61" s="35" t="n"/>
      <c r="I61" s="35" t="n"/>
      <c r="J61" s="35" t="n"/>
      <c r="K61" s="35" t="n"/>
      <c r="L61" s="35" t="n"/>
      <c r="M61" s="35" t="n"/>
      <c r="N61" s="35" t="n"/>
      <c r="O61" s="35" t="n"/>
      <c r="P61" s="35" t="n"/>
      <c r="Q61" s="35" t="n"/>
      <c r="R61" s="35" t="n"/>
      <c r="S61" s="35" t="n"/>
      <c r="T61" s="35" t="n"/>
      <c r="U61" s="35" t="n"/>
      <c r="V61" s="35" t="n"/>
      <c r="W61" s="35" t="n"/>
      <c r="X61" s="35" t="n"/>
      <c r="Y61" s="35" t="n"/>
      <c r="Z61" s="35" t="n"/>
      <c r="AA61" s="35" t="n"/>
      <c r="AB61" s="35" t="n"/>
      <c r="AC61" s="35" t="n"/>
      <c r="AD61" s="35" t="n"/>
      <c r="AE61" s="35" t="n"/>
      <c r="AF61" s="35" t="n"/>
      <c r="AG61" s="35" t="n"/>
      <c r="AH61" s="35" t="n"/>
      <c r="AI61" s="35" t="n"/>
      <c r="AJ61" s="35" t="n"/>
      <c r="AK61" s="35" t="n"/>
      <c r="AL61" s="35" t="n"/>
      <c r="AM61" s="36" t="n"/>
    </row>
    <row r="62" ht="17" customHeight="1">
      <c r="A62" s="5" t="inlineStr">
        <is>
          <t>碳排放总量(万吨CO2)</t>
        </is>
      </c>
      <c r="B62" s="7">
        <f>工艺曲线-CCUS</f>
        <v/>
      </c>
      <c r="C62" s="28">
        <f>C57-C60</f>
        <v/>
      </c>
      <c r="D62" s="28">
        <f>D57-D60</f>
        <v/>
      </c>
      <c r="E62" s="28">
        <f>E57-E60</f>
        <v/>
      </c>
      <c r="F62" s="28">
        <f>F57-F60</f>
        <v/>
      </c>
      <c r="G62" s="28">
        <f>G57-G60</f>
        <v/>
      </c>
      <c r="H62" s="28">
        <f>H57-H60</f>
        <v/>
      </c>
      <c r="I62" s="28">
        <f>I57-I60</f>
        <v/>
      </c>
      <c r="J62" s="28">
        <f>J57-J60</f>
        <v/>
      </c>
      <c r="K62" s="28">
        <f>K57-K60</f>
        <v/>
      </c>
      <c r="L62" s="28">
        <f>L57-L60</f>
        <v/>
      </c>
      <c r="M62" s="28">
        <f>M57-M60</f>
        <v/>
      </c>
      <c r="N62" s="28">
        <f>N57-N60</f>
        <v/>
      </c>
      <c r="O62" s="28">
        <f>O57-O60</f>
        <v/>
      </c>
      <c r="P62" s="28">
        <f>P57-P60</f>
        <v/>
      </c>
      <c r="Q62" s="28">
        <f>Q57-Q60</f>
        <v/>
      </c>
      <c r="R62" s="28">
        <f>R57-R60</f>
        <v/>
      </c>
      <c r="S62" s="28">
        <f>S57-S60</f>
        <v/>
      </c>
      <c r="T62" s="28">
        <f>T57-T60</f>
        <v/>
      </c>
      <c r="U62" s="28">
        <f>U57-U60</f>
        <v/>
      </c>
      <c r="V62" s="28">
        <f>V57-V60</f>
        <v/>
      </c>
      <c r="W62" s="28">
        <f>W57-W60</f>
        <v/>
      </c>
      <c r="X62" s="28">
        <f>X57-X60</f>
        <v/>
      </c>
      <c r="Y62" s="28">
        <f>Y57-Y60</f>
        <v/>
      </c>
      <c r="Z62" s="28">
        <f>Z57-Z60</f>
        <v/>
      </c>
      <c r="AA62" s="28">
        <f>AA57-AA60</f>
        <v/>
      </c>
      <c r="AB62" s="28">
        <f>AB57-AB60</f>
        <v/>
      </c>
      <c r="AC62" s="28">
        <f>AC57-AC60</f>
        <v/>
      </c>
      <c r="AD62" s="28">
        <f>AD57-AD60</f>
        <v/>
      </c>
      <c r="AE62" s="28">
        <f>AE57-AE60</f>
        <v/>
      </c>
      <c r="AF62" s="28">
        <f>AF57-AF60</f>
        <v/>
      </c>
      <c r="AG62" s="28">
        <f>AG57-AG60</f>
        <v/>
      </c>
      <c r="AH62" s="28">
        <f>AH57-AH60</f>
        <v/>
      </c>
      <c r="AI62" s="28">
        <f>AI57-AI60</f>
        <v/>
      </c>
      <c r="AJ62" s="28">
        <f>AJ57-AJ60</f>
        <v/>
      </c>
      <c r="AK62" s="28">
        <f>AK57-AK60</f>
        <v/>
      </c>
      <c r="AL62" s="28">
        <f>AL57-AL60</f>
        <v/>
      </c>
      <c r="AM62" s="28">
        <f>AM57-AM60</f>
        <v/>
      </c>
    </row>
    <row r="63" ht="17" customHeight="1">
      <c r="A63" s="5" t="inlineStr">
        <is>
          <t>吨钢碳排放强度(tCO2/t)</t>
        </is>
      </c>
      <c r="B63" s="7">
        <f>碳排放总量/粗钢产量</f>
        <v/>
      </c>
      <c r="C63" s="48">
        <f>IF(C13&gt;0,C62/C13,0)</f>
        <v/>
      </c>
      <c r="D63" s="48">
        <f>IF(D13&gt;0,D62/D13,0)</f>
        <v/>
      </c>
      <c r="E63" s="48">
        <f>IF(E13&gt;0,E62/E13,0)</f>
        <v/>
      </c>
      <c r="F63" s="48">
        <f>IF(F13&gt;0,F62/F13,0)</f>
        <v/>
      </c>
      <c r="G63" s="48">
        <f>IF(G13&gt;0,G62/G13,0)</f>
        <v/>
      </c>
      <c r="H63" s="48">
        <f>IF(H13&gt;0,H62/H13,0)</f>
        <v/>
      </c>
      <c r="I63" s="48">
        <f>IF(I13&gt;0,I62/I13,0)</f>
        <v/>
      </c>
      <c r="J63" s="48">
        <f>IF(J13&gt;0,J62/J13,0)</f>
        <v/>
      </c>
      <c r="K63" s="48">
        <f>IF(K13&gt;0,K62/K13,0)</f>
        <v/>
      </c>
      <c r="L63" s="48">
        <f>IF(L13&gt;0,L62/L13,0)</f>
        <v/>
      </c>
      <c r="M63" s="48">
        <f>IF(M13&gt;0,M62/M13,0)</f>
        <v/>
      </c>
      <c r="N63" s="48">
        <f>IF(N13&gt;0,N62/N13,0)</f>
        <v/>
      </c>
      <c r="O63" s="48">
        <f>IF(O13&gt;0,O62/O13,0)</f>
        <v/>
      </c>
      <c r="P63" s="48">
        <f>IF(P13&gt;0,P62/P13,0)</f>
        <v/>
      </c>
      <c r="Q63" s="48">
        <f>IF(Q13&gt;0,Q62/Q13,0)</f>
        <v/>
      </c>
      <c r="R63" s="48">
        <f>IF(R13&gt;0,R62/R13,0)</f>
        <v/>
      </c>
      <c r="S63" s="48">
        <f>IF(S13&gt;0,S62/S13,0)</f>
        <v/>
      </c>
      <c r="T63" s="48">
        <f>IF(T13&gt;0,T62/T13,0)</f>
        <v/>
      </c>
      <c r="U63" s="48">
        <f>IF(U13&gt;0,U62/U13,0)</f>
        <v/>
      </c>
      <c r="V63" s="48">
        <f>IF(V13&gt;0,V62/V13,0)</f>
        <v/>
      </c>
      <c r="W63" s="48">
        <f>IF(W13&gt;0,W62/W13,0)</f>
        <v/>
      </c>
      <c r="X63" s="48">
        <f>IF(X13&gt;0,X62/X13,0)</f>
        <v/>
      </c>
      <c r="Y63" s="48">
        <f>IF(Y13&gt;0,Y62/Y13,0)</f>
        <v/>
      </c>
      <c r="Z63" s="48">
        <f>IF(Z13&gt;0,Z62/Z13,0)</f>
        <v/>
      </c>
      <c r="AA63" s="48">
        <f>IF(AA13&gt;0,AA62/AA13,0)</f>
        <v/>
      </c>
      <c r="AB63" s="48">
        <f>IF(AB13&gt;0,AB62/AB13,0)</f>
        <v/>
      </c>
      <c r="AC63" s="48">
        <f>IF(AC13&gt;0,AC62/AC13,0)</f>
        <v/>
      </c>
      <c r="AD63" s="48">
        <f>IF(AD13&gt;0,AD62/AD13,0)</f>
        <v/>
      </c>
      <c r="AE63" s="48">
        <f>IF(AE13&gt;0,AE62/AE13,0)</f>
        <v/>
      </c>
      <c r="AF63" s="48">
        <f>IF(AF13&gt;0,AF62/AF13,0)</f>
        <v/>
      </c>
      <c r="AG63" s="48">
        <f>IF(AG13&gt;0,AG62/AG13,0)</f>
        <v/>
      </c>
      <c r="AH63" s="48">
        <f>IF(AH13&gt;0,AH62/AH13,0)</f>
        <v/>
      </c>
      <c r="AI63" s="48">
        <f>IF(AI13&gt;0,AI62/AI13,0)</f>
        <v/>
      </c>
      <c r="AJ63" s="48">
        <f>IF(AJ13&gt;0,AJ62/AJ13,0)</f>
        <v/>
      </c>
      <c r="AK63" s="48">
        <f>IF(AK13&gt;0,AK62/AK13,0)</f>
        <v/>
      </c>
      <c r="AL63" s="48">
        <f>IF(AL13&gt;0,AL62/AL13,0)</f>
        <v/>
      </c>
      <c r="AM63" s="48">
        <f>IF(AM13&gt;0,AM62/AM13,0)</f>
        <v/>
      </c>
    </row>
    <row r="64" ht="17" customHeight="1">
      <c r="A64" s="2" t="inlineStr">
        <is>
          <t>碳强度较基准年变化(%)</t>
        </is>
      </c>
      <c r="B64" s="7">
        <f>(当年-1.95)/1.95</f>
        <v/>
      </c>
      <c r="C64" s="43">
        <f>(C63-1.95)/1.95</f>
        <v/>
      </c>
      <c r="D64" s="43">
        <f>(D63-1.95)/1.95</f>
        <v/>
      </c>
      <c r="E64" s="43">
        <f>(E63-1.95)/1.95</f>
        <v/>
      </c>
      <c r="F64" s="43">
        <f>(F63-1.95)/1.95</f>
        <v/>
      </c>
      <c r="G64" s="43">
        <f>(G63-1.95)/1.95</f>
        <v/>
      </c>
      <c r="H64" s="43">
        <f>(H63-1.95)/1.95</f>
        <v/>
      </c>
      <c r="I64" s="43">
        <f>(I63-1.95)/1.95</f>
        <v/>
      </c>
      <c r="J64" s="43">
        <f>(J63-1.95)/1.95</f>
        <v/>
      </c>
      <c r="K64" s="43">
        <f>(K63-1.95)/1.95</f>
        <v/>
      </c>
      <c r="L64" s="43">
        <f>(L63-1.95)/1.95</f>
        <v/>
      </c>
      <c r="M64" s="43">
        <f>(M63-1.95)/1.95</f>
        <v/>
      </c>
      <c r="N64" s="43">
        <f>(N63-1.95)/1.95</f>
        <v/>
      </c>
      <c r="O64" s="43">
        <f>(O63-1.95)/1.95</f>
        <v/>
      </c>
      <c r="P64" s="43">
        <f>(P63-1.95)/1.95</f>
        <v/>
      </c>
      <c r="Q64" s="43">
        <f>(Q63-1.95)/1.95</f>
        <v/>
      </c>
      <c r="R64" s="43">
        <f>(R63-1.95)/1.95</f>
        <v/>
      </c>
      <c r="S64" s="43">
        <f>(S63-1.95)/1.95</f>
        <v/>
      </c>
      <c r="T64" s="43">
        <f>(T63-1.95)/1.95</f>
        <v/>
      </c>
      <c r="U64" s="43">
        <f>(U63-1.95)/1.95</f>
        <v/>
      </c>
      <c r="V64" s="43">
        <f>(V63-1.95)/1.95</f>
        <v/>
      </c>
      <c r="W64" s="43">
        <f>(W63-1.95)/1.95</f>
        <v/>
      </c>
      <c r="X64" s="43">
        <f>(X63-1.95)/1.95</f>
        <v/>
      </c>
      <c r="Y64" s="43">
        <f>(Y63-1.95)/1.95</f>
        <v/>
      </c>
      <c r="Z64" s="43">
        <f>(Z63-1.95)/1.95</f>
        <v/>
      </c>
      <c r="AA64" s="43">
        <f>(AA63-1.95)/1.95</f>
        <v/>
      </c>
      <c r="AB64" s="43">
        <f>(AB63-1.95)/1.95</f>
        <v/>
      </c>
      <c r="AC64" s="43">
        <f>(AC63-1.95)/1.95</f>
        <v/>
      </c>
      <c r="AD64" s="43">
        <f>(AD63-1.95)/1.95</f>
        <v/>
      </c>
      <c r="AE64" s="43">
        <f>(AE63-1.95)/1.95</f>
        <v/>
      </c>
      <c r="AF64" s="43">
        <f>(AF63-1.95)/1.95</f>
        <v/>
      </c>
      <c r="AG64" s="43">
        <f>(AG63-1.95)/1.95</f>
        <v/>
      </c>
      <c r="AH64" s="43">
        <f>(AH63-1.95)/1.95</f>
        <v/>
      </c>
      <c r="AI64" s="43">
        <f>(AI63-1.95)/1.95</f>
        <v/>
      </c>
      <c r="AJ64" s="43">
        <f>(AJ63-1.95)/1.95</f>
        <v/>
      </c>
      <c r="AK64" s="43">
        <f>(AK63-1.95)/1.95</f>
        <v/>
      </c>
      <c r="AL64" s="43">
        <f>(AL63-1.95)/1.95</f>
        <v/>
      </c>
      <c r="AM64" s="43">
        <f>(AM63-1.95)/1.95</f>
        <v/>
      </c>
    </row>
    <row r="65" ht="17" customHeight="1">
      <c r="A65" s="2" t="inlineStr">
        <is>
          <t>占全国碳预算比例(%)</t>
        </is>
      </c>
      <c r="B65" s="7">
        <f>碳排放/(全国排放×10000)</f>
        <v/>
      </c>
      <c r="C65" s="43">
        <f>C62/(C9*10000)</f>
        <v/>
      </c>
      <c r="D65" s="43">
        <f>D62/(D9*10000)</f>
        <v/>
      </c>
      <c r="E65" s="43">
        <f>E62/(E9*10000)</f>
        <v/>
      </c>
      <c r="F65" s="43">
        <f>F62/(F9*10000)</f>
        <v/>
      </c>
      <c r="G65" s="43">
        <f>G62/(G9*10000)</f>
        <v/>
      </c>
      <c r="H65" s="43">
        <f>H62/(H9*10000)</f>
        <v/>
      </c>
      <c r="I65" s="43">
        <f>I62/(I9*10000)</f>
        <v/>
      </c>
      <c r="J65" s="43">
        <f>J62/(J9*10000)</f>
        <v/>
      </c>
      <c r="K65" s="43">
        <f>K62/(K9*10000)</f>
        <v/>
      </c>
      <c r="L65" s="43">
        <f>L62/(L9*10000)</f>
        <v/>
      </c>
      <c r="M65" s="43">
        <f>M62/(M9*10000)</f>
        <v/>
      </c>
      <c r="N65" s="43">
        <f>N62/(N9*10000)</f>
        <v/>
      </c>
      <c r="O65" s="43">
        <f>O62/(O9*10000)</f>
        <v/>
      </c>
      <c r="P65" s="43">
        <f>P62/(P9*10000)</f>
        <v/>
      </c>
      <c r="Q65" s="43">
        <f>Q62/(Q9*10000)</f>
        <v/>
      </c>
      <c r="R65" s="43">
        <f>R62/(R9*10000)</f>
        <v/>
      </c>
      <c r="S65" s="43">
        <f>S62/(S9*10000)</f>
        <v/>
      </c>
      <c r="T65" s="43">
        <f>T62/(T9*10000)</f>
        <v/>
      </c>
      <c r="U65" s="43">
        <f>U62/(U9*10000)</f>
        <v/>
      </c>
      <c r="V65" s="43">
        <f>V62/(V9*10000)</f>
        <v/>
      </c>
      <c r="W65" s="43">
        <f>W62/(W9*10000)</f>
        <v/>
      </c>
      <c r="X65" s="43">
        <f>X62/(X9*10000)</f>
        <v/>
      </c>
      <c r="Y65" s="43">
        <f>Y62/(Y9*10000)</f>
        <v/>
      </c>
      <c r="Z65" s="43">
        <f>Z62/(Z9*10000)</f>
        <v/>
      </c>
      <c r="AA65" s="43">
        <f>AA62/(AA9*10000)</f>
        <v/>
      </c>
      <c r="AB65" s="43">
        <f>AB62/(AB9*10000)</f>
        <v/>
      </c>
      <c r="AC65" s="43">
        <f>AC62/(AC9*10000)</f>
        <v/>
      </c>
      <c r="AD65" s="43">
        <f>AD62/(AD9*10000)</f>
        <v/>
      </c>
      <c r="AE65" s="43">
        <f>AE62/(AE9*10000)</f>
        <v/>
      </c>
      <c r="AF65" s="43">
        <f>AF62/(AF9*10000)</f>
        <v/>
      </c>
      <c r="AG65" s="43">
        <f>AG62/(AG9*10000)</f>
        <v/>
      </c>
      <c r="AH65" s="43">
        <f>AH62/(AH9*10000)</f>
        <v/>
      </c>
      <c r="AI65" s="43">
        <f>AI62/(AI9*10000)</f>
        <v/>
      </c>
      <c r="AJ65" s="43">
        <f>AJ62/(AJ9*10000)</f>
        <v/>
      </c>
      <c r="AK65" s="43">
        <f>AK62/(AK9*10000)</f>
        <v/>
      </c>
      <c r="AL65" s="43">
        <f>AL62/(AL9*10000)</f>
        <v/>
      </c>
      <c r="AM65" s="43">
        <f>AM62/(AM9*10000)</f>
        <v/>
      </c>
    </row>
  </sheetData>
  <mergeCells count="20">
    <mergeCell ref="A61:AM61"/>
    <mergeCell ref="A46:AM46"/>
    <mergeCell ref="A12:AM12"/>
    <mergeCell ref="A21:AM21"/>
    <mergeCell ref="A55:AM55"/>
    <mergeCell ref="A14:AM14"/>
    <mergeCell ref="A1:J1"/>
    <mergeCell ref="A5:AM5"/>
    <mergeCell ref="AP11:AQ11"/>
    <mergeCell ref="A43:AM43"/>
    <mergeCell ref="A52:AM52"/>
    <mergeCell ref="A58:AM58"/>
    <mergeCell ref="A34:AM34"/>
    <mergeCell ref="A40:AM40"/>
    <mergeCell ref="AP25:AQ25"/>
    <mergeCell ref="A30:AM30"/>
    <mergeCell ref="A39:AM39"/>
    <mergeCell ref="A2:J2"/>
    <mergeCell ref="A49:AM49"/>
    <mergeCell ref="AP4:AQ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4472C4"/>
    <outlinePr summaryBelow="1" summaryRight="1"/>
    <pageSetUpPr/>
  </sheetPr>
  <dimension ref="A1:AQ65"/>
  <sheetViews>
    <sheetView workbookViewId="0">
      <selection activeCell="A1" sqref="A1:J1"/>
    </sheetView>
  </sheetViews>
  <sheetFormatPr baseColWidth="10" defaultColWidth="9" defaultRowHeight="14"/>
  <cols>
    <col width="35" customWidth="1" min="1" max="1"/>
    <col width="28" customWidth="1" min="2" max="2"/>
    <col width="14" customWidth="1" min="3" max="39"/>
    <col width="28" customWidth="1" min="42" max="42"/>
    <col width="16" customWidth="1" min="43" max="43"/>
  </cols>
  <sheetData>
    <row r="1" ht="20.5" customHeight="1">
      <c r="A1" s="38" t="inlineStr">
        <is>
          <t>钢铁行业减碳基准路径 - 适度情景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6" t="n"/>
    </row>
    <row r="2">
      <c r="A2" s="39" t="inlineStr">
        <is>
          <t>基准年2024 | 碳强度1.95 tCO2/t | CCUS百万吨起步 | 2024-2060逐年</t>
        </is>
      </c>
      <c r="B2" s="35" t="n"/>
      <c r="C2" s="35" t="n"/>
      <c r="D2" s="35" t="n"/>
      <c r="E2" s="35" t="n"/>
      <c r="F2" s="35" t="n"/>
      <c r="G2" s="35" t="n"/>
      <c r="H2" s="35" t="n"/>
      <c r="I2" s="35" t="n"/>
      <c r="J2" s="36" t="n"/>
    </row>
    <row r="4" ht="17" customHeight="1">
      <c r="A4" s="1" t="inlineStr">
        <is>
          <t>指标</t>
        </is>
      </c>
      <c r="B4" s="1" t="inlineStr">
        <is>
          <t>公式说明</t>
        </is>
      </c>
      <c r="C4" s="1" t="n">
        <v>2024</v>
      </c>
      <c r="D4" s="1" t="n">
        <v>2025</v>
      </c>
      <c r="E4" s="1" t="n">
        <v>2026</v>
      </c>
      <c r="F4" s="1" t="n">
        <v>2027</v>
      </c>
      <c r="G4" s="1" t="n">
        <v>2028</v>
      </c>
      <c r="H4" s="1" t="n">
        <v>2029</v>
      </c>
      <c r="I4" s="1" t="n">
        <v>2030</v>
      </c>
      <c r="J4" s="1" t="n">
        <v>2031</v>
      </c>
      <c r="K4" s="1" t="n">
        <v>2032</v>
      </c>
      <c r="L4" s="1" t="n">
        <v>2033</v>
      </c>
      <c r="M4" s="1" t="n">
        <v>2034</v>
      </c>
      <c r="N4" s="1" t="n">
        <v>2035</v>
      </c>
      <c r="O4" s="1" t="n">
        <v>2036</v>
      </c>
      <c r="P4" s="1" t="n">
        <v>2037</v>
      </c>
      <c r="Q4" s="1" t="n">
        <v>2038</v>
      </c>
      <c r="R4" s="1" t="n">
        <v>2039</v>
      </c>
      <c r="S4" s="1" t="n">
        <v>2040</v>
      </c>
      <c r="T4" s="1" t="n">
        <v>2041</v>
      </c>
      <c r="U4" s="1" t="n">
        <v>2042</v>
      </c>
      <c r="V4" s="1" t="n">
        <v>2043</v>
      </c>
      <c r="W4" s="1" t="n">
        <v>2044</v>
      </c>
      <c r="X4" s="1" t="n">
        <v>2045</v>
      </c>
      <c r="Y4" s="1" t="n">
        <v>2046</v>
      </c>
      <c r="Z4" s="1" t="n">
        <v>2047</v>
      </c>
      <c r="AA4" s="1" t="n">
        <v>2048</v>
      </c>
      <c r="AB4" s="1" t="n">
        <v>2049</v>
      </c>
      <c r="AC4" s="1" t="n">
        <v>2050</v>
      </c>
      <c r="AD4" s="1" t="n">
        <v>2051</v>
      </c>
      <c r="AE4" s="1" t="n">
        <v>2052</v>
      </c>
      <c r="AF4" s="1" t="n">
        <v>2053</v>
      </c>
      <c r="AG4" s="1" t="n">
        <v>2054</v>
      </c>
      <c r="AH4" s="1" t="n">
        <v>2055</v>
      </c>
      <c r="AI4" s="1" t="n">
        <v>2056</v>
      </c>
      <c r="AJ4" s="1" t="n">
        <v>2057</v>
      </c>
      <c r="AK4" s="1" t="n">
        <v>2058</v>
      </c>
      <c r="AL4" s="1" t="n">
        <v>2059</v>
      </c>
      <c r="AM4" s="1" t="n">
        <v>2060</v>
      </c>
      <c r="AP4" s="41" t="inlineStr">
        <is>
          <t>Step 2: 基准年参数</t>
        </is>
      </c>
      <c r="AQ4" s="36" t="n"/>
    </row>
    <row r="5" ht="17.5" customHeight="1">
      <c r="A5" s="34" t="inlineStr">
        <is>
          <t>Step 1: 宏观经济假设</t>
        </is>
      </c>
      <c r="B5" s="35" t="n"/>
      <c r="C5" s="35" t="n"/>
      <c r="D5" s="35" t="n"/>
      <c r="E5" s="35" t="n"/>
      <c r="F5" s="35" t="n"/>
      <c r="G5" s="35" t="n"/>
      <c r="H5" s="35" t="n"/>
      <c r="I5" s="35" t="n"/>
      <c r="J5" s="35" t="n"/>
      <c r="K5" s="35" t="n"/>
      <c r="L5" s="35" t="n"/>
      <c r="M5" s="35" t="n"/>
      <c r="N5" s="35" t="n"/>
      <c r="O5" s="35" t="n"/>
      <c r="P5" s="35" t="n"/>
      <c r="Q5" s="35" t="n"/>
      <c r="R5" s="35" t="n"/>
      <c r="S5" s="35" t="n"/>
      <c r="T5" s="35" t="n"/>
      <c r="U5" s="35" t="n"/>
      <c r="V5" s="35" t="n"/>
      <c r="W5" s="35" t="n"/>
      <c r="X5" s="35" t="n"/>
      <c r="Y5" s="35" t="n"/>
      <c r="Z5" s="35" t="n"/>
      <c r="AA5" s="35" t="n"/>
      <c r="AB5" s="35" t="n"/>
      <c r="AC5" s="35" t="n"/>
      <c r="AD5" s="35" t="n"/>
      <c r="AE5" s="35" t="n"/>
      <c r="AF5" s="35" t="n"/>
      <c r="AG5" s="35" t="n"/>
      <c r="AH5" s="35" t="n"/>
      <c r="AI5" s="35" t="n"/>
      <c r="AJ5" s="35" t="n"/>
      <c r="AK5" s="35" t="n"/>
      <c r="AL5" s="35" t="n"/>
      <c r="AM5" s="36" t="n"/>
      <c r="AP5" s="1" t="inlineStr">
        <is>
          <t>参数名称</t>
        </is>
      </c>
      <c r="AQ5" s="1" t="inlineStr">
        <is>
          <t>参数值</t>
        </is>
      </c>
    </row>
    <row r="6" ht="17" customHeight="1">
      <c r="A6" s="40" t="inlineStr">
        <is>
          <t>GDP增长率(%)</t>
        </is>
      </c>
      <c r="B6" s="7" t="inlineStr">
        <is>
          <t>国家统计局/IFS-CGE</t>
        </is>
      </c>
      <c r="C6" s="42" t="n">
        <v>4.9</v>
      </c>
      <c r="D6" s="42" t="n">
        <v>4.5</v>
      </c>
      <c r="E6" s="42" t="n">
        <v>4.3</v>
      </c>
      <c r="F6" s="42" t="n">
        <v>4.1</v>
      </c>
      <c r="G6" s="42" t="n">
        <v>3.9</v>
      </c>
      <c r="H6" s="42" t="n">
        <v>3.7</v>
      </c>
      <c r="I6" s="42" t="n">
        <v>3.5</v>
      </c>
      <c r="J6" s="42" t="n">
        <v>3.3</v>
      </c>
      <c r="K6" s="42" t="n">
        <v>3.1</v>
      </c>
      <c r="L6" s="42" t="n">
        <v>3</v>
      </c>
      <c r="M6" s="42" t="n">
        <v>2.8</v>
      </c>
      <c r="N6" s="42" t="n">
        <v>2.7</v>
      </c>
      <c r="O6" s="42" t="n">
        <v>2.5</v>
      </c>
      <c r="P6" s="42" t="n">
        <v>2.4</v>
      </c>
      <c r="Q6" s="42" t="n">
        <v>2.2</v>
      </c>
      <c r="R6" s="42" t="n">
        <v>2.1</v>
      </c>
      <c r="S6" s="42" t="n">
        <v>2</v>
      </c>
      <c r="T6" s="42" t="n">
        <v>1.8</v>
      </c>
      <c r="U6" s="42" t="n">
        <v>1.7</v>
      </c>
      <c r="V6" s="42" t="n">
        <v>1.6</v>
      </c>
      <c r="W6" s="42" t="n">
        <v>1.5</v>
      </c>
      <c r="X6" s="42" t="n">
        <v>1.5</v>
      </c>
      <c r="Y6" s="42" t="n">
        <v>1.3</v>
      </c>
      <c r="Z6" s="42" t="n">
        <v>1.2</v>
      </c>
      <c r="AA6" s="42" t="n">
        <v>1.1</v>
      </c>
      <c r="AB6" s="42" t="n">
        <v>1</v>
      </c>
      <c r="AC6" s="42" t="n">
        <v>1</v>
      </c>
      <c r="AD6" s="42" t="n">
        <v>0.8</v>
      </c>
      <c r="AE6" s="42" t="n">
        <v>0.7</v>
      </c>
      <c r="AF6" s="42" t="n">
        <v>0.6</v>
      </c>
      <c r="AG6" s="42" t="n">
        <v>0.6</v>
      </c>
      <c r="AH6" s="42" t="n">
        <v>0.5</v>
      </c>
      <c r="AI6" s="42" t="n">
        <v>0.4</v>
      </c>
      <c r="AJ6" s="42" t="n">
        <v>0.4</v>
      </c>
      <c r="AK6" s="42" t="n">
        <v>0.3</v>
      </c>
      <c r="AL6" s="42" t="n">
        <v>0.3</v>
      </c>
      <c r="AM6" s="42" t="n">
        <v>0.2</v>
      </c>
      <c r="AP6" s="37" t="inlineStr">
        <is>
          <t>基准年</t>
        </is>
      </c>
      <c r="AQ6" s="30" t="inlineStr">
        <is>
          <t>2024</t>
        </is>
      </c>
    </row>
    <row r="7" ht="17" customHeight="1">
      <c r="A7" s="40" t="inlineStr">
        <is>
          <t>实际GDP(2020价万亿)</t>
        </is>
      </c>
      <c r="B7" s="7" t="inlineStr">
        <is>
          <t>支出法GDP</t>
        </is>
      </c>
      <c r="C7" s="16" t="n">
        <v>124.92</v>
      </c>
      <c r="D7" s="16" t="n">
        <v>130.54</v>
      </c>
      <c r="E7" s="16" t="n">
        <v>135.627666872074</v>
      </c>
      <c r="F7" s="16" t="n">
        <v>140.913620508368</v>
      </c>
      <c r="G7" s="16" t="n">
        <v>146.405588938615</v>
      </c>
      <c r="H7" s="16" t="n">
        <v>152.111601384834</v>
      </c>
      <c r="I7" s="16" t="n">
        <v>158.04</v>
      </c>
      <c r="J7" s="16" t="n">
        <v>162.748904063458</v>
      </c>
      <c r="K7" s="16" t="n">
        <v>167.598112970493</v>
      </c>
      <c r="L7" s="16" t="n">
        <v>172.591807194706</v>
      </c>
      <c r="M7" s="16" t="n">
        <v>177.734291769616</v>
      </c>
      <c r="N7" s="16" t="n">
        <v>183.03</v>
      </c>
      <c r="O7" s="16" t="n">
        <v>187.130140285199</v>
      </c>
      <c r="P7" s="16" t="n">
        <v>191.322129722769</v>
      </c>
      <c r="Q7" s="16" t="n">
        <v>195.608025868354</v>
      </c>
      <c r="R7" s="16" t="n">
        <v>199.989932369863</v>
      </c>
      <c r="S7" s="16" t="n">
        <v>204.47</v>
      </c>
      <c r="T7" s="16" t="n">
        <v>207.272656009724</v>
      </c>
      <c r="U7" s="16" t="n">
        <v>210.113727829635</v>
      </c>
      <c r="V7" s="16" t="n">
        <v>212.993742022559</v>
      </c>
      <c r="W7" s="16" t="n">
        <v>215.913232368884</v>
      </c>
      <c r="X7" s="16" t="n">
        <v>218.872739965488</v>
      </c>
      <c r="Y7" s="16" t="n">
        <v>221.872813326025</v>
      </c>
      <c r="Z7" s="16" t="n">
        <v>224.914008482589</v>
      </c>
      <c r="AA7" s="16" t="n">
        <v>227.996889088765</v>
      </c>
      <c r="AB7" s="16" t="n">
        <v>231.1220265241</v>
      </c>
      <c r="AC7" s="16" t="n">
        <v>234.29</v>
      </c>
      <c r="AD7" s="16" t="n">
        <v>235.41536136499</v>
      </c>
      <c r="AE7" s="16" t="n">
        <v>236.546128160009</v>
      </c>
      <c r="AF7" s="16" t="n">
        <v>237.682326348874</v>
      </c>
      <c r="AG7" s="16" t="n">
        <v>238.82398202011</v>
      </c>
      <c r="AH7" s="16" t="n">
        <v>239.971121387554</v>
      </c>
      <c r="AI7" s="16" t="n">
        <v>241.123770790954</v>
      </c>
      <c r="AJ7" s="16" t="n">
        <v>242.281956696579</v>
      </c>
      <c r="AK7" s="16" t="n">
        <v>243.445705697818</v>
      </c>
      <c r="AL7" s="16" t="n">
        <v>244.6150445158</v>
      </c>
      <c r="AM7" s="16" t="n">
        <v>245.79</v>
      </c>
      <c r="AP7" s="37" t="inlineStr">
        <is>
          <t>粗钢产量(万吨)</t>
        </is>
      </c>
      <c r="AQ7" s="30" t="inlineStr">
        <is>
          <t>100,509</t>
        </is>
      </c>
    </row>
    <row r="8" ht="17" customHeight="1">
      <c r="A8" s="40" t="inlineStr">
        <is>
          <t>人口(亿人)</t>
        </is>
      </c>
      <c r="B8" s="7" t="inlineStr">
        <is>
          <t>联合国中位预测</t>
        </is>
      </c>
      <c r="C8" s="16" t="n">
        <v>14.08</v>
      </c>
      <c r="D8" s="16" t="n">
        <v>14.08</v>
      </c>
      <c r="E8" s="16" t="n">
        <v>14.0539034418663</v>
      </c>
      <c r="F8" s="16" t="n">
        <v>14.0278552523652</v>
      </c>
      <c r="G8" s="16" t="n">
        <v>14.0018553418479</v>
      </c>
      <c r="H8" s="16" t="n">
        <v>13.9759036208318</v>
      </c>
      <c r="I8" s="16" t="n">
        <v>13.95</v>
      </c>
      <c r="J8" s="16" t="n">
        <v>13.9097686160443</v>
      </c>
      <c r="K8" s="16" t="n">
        <v>13.8696532582</v>
      </c>
      <c r="L8" s="16" t="n">
        <v>13.8296535918514</v>
      </c>
      <c r="M8" s="16" t="n">
        <v>13.7897692833476</v>
      </c>
      <c r="N8" s="16" t="n">
        <v>13.75</v>
      </c>
      <c r="O8" s="16" t="n">
        <v>13.6996323454979</v>
      </c>
      <c r="P8" s="16" t="n">
        <v>13.6494491928591</v>
      </c>
      <c r="Q8" s="16" t="n">
        <v>13.5994498662344</v>
      </c>
      <c r="R8" s="16" t="n">
        <v>13.5496336922503</v>
      </c>
      <c r="S8" s="16" t="n">
        <v>13.5</v>
      </c>
      <c r="T8" s="16" t="n">
        <v>13.434592209784</v>
      </c>
      <c r="U8" s="16" t="n">
        <v>13.3695013217176</v>
      </c>
      <c r="V8" s="16" t="n">
        <v>13.3047258004033</v>
      </c>
      <c r="W8" s="16" t="n">
        <v>13.2402641178822</v>
      </c>
      <c r="X8" s="16" t="n">
        <v>13.1761147535987</v>
      </c>
      <c r="Y8" s="16" t="n">
        <v>13.1122761943641</v>
      </c>
      <c r="Z8" s="16" t="n">
        <v>13.0487469343215</v>
      </c>
      <c r="AA8" s="16" t="n">
        <v>12.9855254749095</v>
      </c>
      <c r="AB8" s="16" t="n">
        <v>12.9226103248274</v>
      </c>
      <c r="AC8" s="16" t="n">
        <v>12.86</v>
      </c>
      <c r="AD8" s="16" t="n">
        <v>12.7829557644941</v>
      </c>
      <c r="AE8" s="16" t="n">
        <v>12.7063731008563</v>
      </c>
      <c r="AF8" s="16" t="n">
        <v>12.6302492438105</v>
      </c>
      <c r="AG8" s="16" t="n">
        <v>12.5545814446473</v>
      </c>
      <c r="AH8" s="16" t="n">
        <v>12.4793669711248</v>
      </c>
      <c r="AI8" s="16" t="n">
        <v>12.4046031073698</v>
      </c>
      <c r="AJ8" s="16" t="n">
        <v>12.3302871537803</v>
      </c>
      <c r="AK8" s="16" t="n">
        <v>12.2564164269271</v>
      </c>
      <c r="AL8" s="16" t="n">
        <v>12.1829882594578</v>
      </c>
      <c r="AM8" s="16" t="n">
        <v>12.11</v>
      </c>
      <c r="AP8" s="37" t="inlineStr">
        <is>
          <t>碳排放总量(万吨CO2)</t>
        </is>
      </c>
      <c r="AQ8" s="30" t="inlineStr">
        <is>
          <t>195,992</t>
        </is>
      </c>
    </row>
    <row r="9" ht="17" customHeight="1">
      <c r="A9" s="40" t="inlineStr">
        <is>
          <t>全国CO2排放(亿吨)</t>
        </is>
      </c>
      <c r="B9" s="7" t="inlineStr">
        <is>
          <t>IFS-CGE模型</t>
        </is>
      </c>
      <c r="C9" s="16" t="n">
        <v>106.5</v>
      </c>
      <c r="D9" s="16" t="n">
        <v>108</v>
      </c>
      <c r="E9" s="16" t="n">
        <v>110</v>
      </c>
      <c r="F9" s="16" t="n">
        <v>112</v>
      </c>
      <c r="G9" s="16" t="n">
        <v>115</v>
      </c>
      <c r="H9" s="16" t="n">
        <v>117</v>
      </c>
      <c r="I9" s="16" t="n">
        <v>118</v>
      </c>
      <c r="J9" s="16" t="n">
        <v>117</v>
      </c>
      <c r="K9" s="16" t="n">
        <v>115.5</v>
      </c>
      <c r="L9" s="16" t="n">
        <v>113.5</v>
      </c>
      <c r="M9" s="16" t="n">
        <v>111</v>
      </c>
      <c r="N9" s="16" t="n">
        <v>109</v>
      </c>
      <c r="O9" s="16" t="n">
        <v>106.5</v>
      </c>
      <c r="P9" s="16" t="n">
        <v>103.5</v>
      </c>
      <c r="Q9" s="16" t="n">
        <v>100</v>
      </c>
      <c r="R9" s="16" t="n">
        <v>96</v>
      </c>
      <c r="S9" s="16" t="n">
        <v>92</v>
      </c>
      <c r="T9" s="16" t="n">
        <v>87.5</v>
      </c>
      <c r="U9" s="16" t="n">
        <v>83</v>
      </c>
      <c r="V9" s="16" t="n">
        <v>78.5</v>
      </c>
      <c r="W9" s="16" t="n">
        <v>74</v>
      </c>
      <c r="X9" s="16" t="n">
        <v>69.5</v>
      </c>
      <c r="Y9" s="16" t="n">
        <v>65</v>
      </c>
      <c r="Z9" s="16" t="n">
        <v>60.5</v>
      </c>
      <c r="AA9" s="16" t="n">
        <v>56</v>
      </c>
      <c r="AB9" s="16" t="n">
        <v>51.5</v>
      </c>
      <c r="AC9" s="16" t="n">
        <v>47</v>
      </c>
      <c r="AD9" s="16" t="n">
        <v>43</v>
      </c>
      <c r="AE9" s="16" t="n">
        <v>39</v>
      </c>
      <c r="AF9" s="16" t="n">
        <v>35.5</v>
      </c>
      <c r="AG9" s="16" t="n">
        <v>32</v>
      </c>
      <c r="AH9" s="16" t="n">
        <v>29</v>
      </c>
      <c r="AI9" s="16" t="n">
        <v>26.5</v>
      </c>
      <c r="AJ9" s="16" t="n">
        <v>24.5</v>
      </c>
      <c r="AK9" s="16" t="n">
        <v>23</v>
      </c>
      <c r="AL9" s="16" t="n">
        <v>22</v>
      </c>
      <c r="AM9" s="16" t="n">
        <v>21</v>
      </c>
      <c r="AP9" s="37" t="inlineStr">
        <is>
          <t>吨钢碳排放强度(tCO2/t)</t>
        </is>
      </c>
      <c r="AQ9" s="30" t="inlineStr">
        <is>
          <t>1.95</t>
        </is>
      </c>
    </row>
    <row r="10" ht="28" customHeight="1">
      <c r="A10" s="40" t="inlineStr">
        <is>
          <t>吨钢综合能耗(kgce/t)</t>
        </is>
      </c>
      <c r="B10" s="7" t="inlineStr">
        <is>
          <t>2025+1.9%: 产品结构调整+超低排放+入炉矿品位下降</t>
        </is>
      </c>
      <c r="C10" s="17" t="n">
        <v>1.85</v>
      </c>
      <c r="D10" s="17" t="n">
        <v>1.88515</v>
      </c>
      <c r="E10" s="17" t="n">
        <v>1.87572425</v>
      </c>
      <c r="F10" s="17" t="n">
        <v>1.860718456</v>
      </c>
      <c r="G10" s="17" t="n">
        <v>1.84211127144</v>
      </c>
      <c r="H10" s="17" t="n">
        <v>1.82000593618272</v>
      </c>
      <c r="I10" s="17" t="n">
        <v>1.79270584713998</v>
      </c>
      <c r="J10" s="17" t="n">
        <v>1.76581525943288</v>
      </c>
      <c r="K10" s="17" t="n">
        <v>1.73932803054139</v>
      </c>
      <c r="L10" s="17" t="n">
        <v>1.71323811008326</v>
      </c>
      <c r="M10" s="17" t="n">
        <v>1.68753953843202</v>
      </c>
      <c r="N10" s="17" t="n">
        <v>1.66222644535554</v>
      </c>
      <c r="O10" s="17" t="n">
        <v>1.64227972801127</v>
      </c>
      <c r="P10" s="17" t="n">
        <v>1.62257237127513</v>
      </c>
      <c r="Q10" s="17" t="n">
        <v>1.60310150281983</v>
      </c>
      <c r="R10" s="17" t="n">
        <v>1.58386428478599</v>
      </c>
      <c r="S10" s="17" t="n">
        <v>1.56802564193814</v>
      </c>
      <c r="T10" s="17" t="n">
        <v>1.55234538551875</v>
      </c>
      <c r="U10" s="17" t="n">
        <v>1.53682193166357</v>
      </c>
      <c r="V10" s="17" t="n">
        <v>1.52145371234693</v>
      </c>
      <c r="W10" s="17" t="n">
        <v>1.50928208264815</v>
      </c>
      <c r="X10" s="17" t="n">
        <v>1.49720782598697</v>
      </c>
      <c r="Y10" s="17" t="n">
        <v>1.48523016337907</v>
      </c>
      <c r="Z10" s="17" t="n">
        <v>1.47334832207204</v>
      </c>
      <c r="AA10" s="17" t="n">
        <v>1.46450823213961</v>
      </c>
      <c r="AB10" s="17" t="n">
        <v>1.45572118274677</v>
      </c>
      <c r="AC10" s="17" t="n">
        <v>1.44698685565029</v>
      </c>
      <c r="AD10" s="17" t="n">
        <v>1.43975192137204</v>
      </c>
      <c r="AE10" s="17" t="n">
        <v>1.43255316176518</v>
      </c>
      <c r="AF10" s="17" t="n">
        <v>1.42539039595635</v>
      </c>
      <c r="AG10" s="17" t="n">
        <v>1.41826344397657</v>
      </c>
      <c r="AH10" s="17" t="n">
        <v>1.41259039020066</v>
      </c>
      <c r="AI10" s="17" t="n">
        <v>1.40694002863986</v>
      </c>
      <c r="AJ10" s="17" t="n">
        <v>1.4013122685253</v>
      </c>
      <c r="AK10" s="17" t="n">
        <v>1.39710833171973</v>
      </c>
      <c r="AL10" s="17" t="n">
        <v>1.39291700672457</v>
      </c>
      <c r="AM10" s="17" t="n">
        <v>1.38873825570439</v>
      </c>
    </row>
    <row r="11" ht="17" customHeight="1">
      <c r="A11" s="2" t="inlineStr">
        <is>
          <t>吨钢综合能耗同比变化(%)</t>
        </is>
      </c>
      <c r="B11" s="7" t="inlineStr">
        <is>
          <t>国家统计局/中钢协数据</t>
        </is>
      </c>
      <c r="C11" s="42" t="n">
        <v>0</v>
      </c>
      <c r="D11" s="42" t="n">
        <v>1.9</v>
      </c>
      <c r="E11" s="42" t="n">
        <v>-0.5</v>
      </c>
      <c r="F11" s="42" t="n">
        <v>-0.8</v>
      </c>
      <c r="G11" s="42" t="n">
        <v>-1</v>
      </c>
      <c r="H11" s="42" t="n">
        <v>-1.2</v>
      </c>
      <c r="I11" s="42" t="n">
        <v>-1.5</v>
      </c>
      <c r="J11" s="42" t="n">
        <v>-1.5</v>
      </c>
      <c r="K11" s="42" t="n">
        <v>-1.5</v>
      </c>
      <c r="L11" s="42" t="n">
        <v>-1.5</v>
      </c>
      <c r="M11" s="42" t="n">
        <v>-1.5</v>
      </c>
      <c r="N11" s="42" t="n">
        <v>-1.5</v>
      </c>
      <c r="O11" s="42" t="n">
        <v>-1.2</v>
      </c>
      <c r="P11" s="42" t="n">
        <v>-1.2</v>
      </c>
      <c r="Q11" s="42" t="n">
        <v>-1.2</v>
      </c>
      <c r="R11" s="42" t="n">
        <v>-1.2</v>
      </c>
      <c r="S11" s="42" t="n">
        <v>-1</v>
      </c>
      <c r="T11" s="42" t="n">
        <v>-1</v>
      </c>
      <c r="U11" s="42" t="n">
        <v>-1</v>
      </c>
      <c r="V11" s="42" t="n">
        <v>-1</v>
      </c>
      <c r="W11" s="42" t="n">
        <v>-0.8</v>
      </c>
      <c r="X11" s="42" t="n">
        <v>-0.8</v>
      </c>
      <c r="Y11" s="42" t="n">
        <v>-0.8</v>
      </c>
      <c r="Z11" s="42" t="n">
        <v>-0.8</v>
      </c>
      <c r="AA11" s="42" t="n">
        <v>-0.6</v>
      </c>
      <c r="AB11" s="42" t="n">
        <v>-0.6</v>
      </c>
      <c r="AC11" s="42" t="n">
        <v>-0.6</v>
      </c>
      <c r="AD11" s="42" t="n">
        <v>-0.5</v>
      </c>
      <c r="AE11" s="42" t="n">
        <v>-0.5</v>
      </c>
      <c r="AF11" s="42" t="n">
        <v>-0.5</v>
      </c>
      <c r="AG11" s="42" t="n">
        <v>-0.5</v>
      </c>
      <c r="AH11" s="42" t="n">
        <v>-0.4</v>
      </c>
      <c r="AI11" s="42" t="n">
        <v>-0.4</v>
      </c>
      <c r="AJ11" s="42" t="n">
        <v>-0.4</v>
      </c>
      <c r="AK11" s="42" t="n">
        <v>-0.3</v>
      </c>
      <c r="AL11" s="42" t="n">
        <v>-0.3</v>
      </c>
      <c r="AM11" s="42" t="n">
        <v>-0.3</v>
      </c>
      <c r="AP11" s="40" t="inlineStr">
        <is>
          <t>---工艺参数---</t>
        </is>
      </c>
      <c r="AQ11" s="36" t="n"/>
    </row>
    <row r="12" ht="17.5" customHeight="1">
      <c r="A12" s="34" t="inlineStr">
        <is>
          <t>Step 3: 粗钢产量(万吨)</t>
        </is>
      </c>
      <c r="B12" s="35" t="n"/>
      <c r="C12" s="35" t="n"/>
      <c r="D12" s="35" t="n"/>
      <c r="E12" s="35" t="n"/>
      <c r="F12" s="35" t="n"/>
      <c r="G12" s="35" t="n"/>
      <c r="H12" s="35" t="n"/>
      <c r="I12" s="35" t="n"/>
      <c r="J12" s="35" t="n"/>
      <c r="K12" s="35" t="n"/>
      <c r="L12" s="35" t="n"/>
      <c r="M12" s="35" t="n"/>
      <c r="N12" s="35" t="n"/>
      <c r="O12" s="35" t="n"/>
      <c r="P12" s="35" t="n"/>
      <c r="Q12" s="35" t="n"/>
      <c r="R12" s="35" t="n"/>
      <c r="S12" s="35" t="n"/>
      <c r="T12" s="35" t="n"/>
      <c r="U12" s="35" t="n"/>
      <c r="V12" s="35" t="n"/>
      <c r="W12" s="35" t="n"/>
      <c r="X12" s="35" t="n"/>
      <c r="Y12" s="35" t="n"/>
      <c r="Z12" s="35" t="n"/>
      <c r="AA12" s="35" t="n"/>
      <c r="AB12" s="35" t="n"/>
      <c r="AC12" s="35" t="n"/>
      <c r="AD12" s="35" t="n"/>
      <c r="AE12" s="35" t="n"/>
      <c r="AF12" s="35" t="n"/>
      <c r="AG12" s="35" t="n"/>
      <c r="AH12" s="35" t="n"/>
      <c r="AI12" s="35" t="n"/>
      <c r="AJ12" s="35" t="n"/>
      <c r="AK12" s="35" t="n"/>
      <c r="AL12" s="35" t="n"/>
      <c r="AM12" s="36" t="n"/>
      <c r="AP12" s="37" t="inlineStr">
        <is>
          <t>长流程产量占比(%)</t>
        </is>
      </c>
      <c r="AQ12" s="30" t="inlineStr">
        <is>
          <t>89</t>
        </is>
      </c>
    </row>
    <row r="13" ht="17" customHeight="1">
      <c r="A13" s="40" t="inlineStr">
        <is>
          <t>粗钢产量(万吨)</t>
        </is>
      </c>
      <c r="B13" s="7" t="inlineStr">
        <is>
          <t>CAGR插值(三情景共用)</t>
        </is>
      </c>
      <c r="C13" s="18" t="n">
        <v>100509</v>
      </c>
      <c r="D13" s="18" t="n">
        <v>96081</v>
      </c>
      <c r="E13" s="18" t="n">
        <v>94000</v>
      </c>
      <c r="F13" s="18" t="n">
        <v>92500</v>
      </c>
      <c r="G13" s="18" t="n">
        <v>91000</v>
      </c>
      <c r="H13" s="18" t="n">
        <v>89500</v>
      </c>
      <c r="I13" s="18" t="n">
        <v>88000</v>
      </c>
      <c r="J13" s="18" t="n">
        <v>86800</v>
      </c>
      <c r="K13" s="18" t="n">
        <v>85600</v>
      </c>
      <c r="L13" s="18" t="n">
        <v>84400</v>
      </c>
      <c r="M13" s="18" t="n">
        <v>83200</v>
      </c>
      <c r="N13" s="18" t="n">
        <v>82000</v>
      </c>
      <c r="O13" s="18" t="n">
        <v>81200</v>
      </c>
      <c r="P13" s="18" t="n">
        <v>80500</v>
      </c>
      <c r="Q13" s="18" t="n">
        <v>79800</v>
      </c>
      <c r="R13" s="18" t="n">
        <v>79200</v>
      </c>
      <c r="S13" s="18" t="n">
        <v>78600</v>
      </c>
      <c r="T13" s="18" t="n">
        <v>78000</v>
      </c>
      <c r="U13" s="18" t="n">
        <v>77400</v>
      </c>
      <c r="V13" s="18" t="n">
        <v>76800</v>
      </c>
      <c r="W13" s="18" t="n">
        <v>76200</v>
      </c>
      <c r="X13" s="18" t="n">
        <v>75600</v>
      </c>
      <c r="Y13" s="18" t="n">
        <v>75000</v>
      </c>
      <c r="Z13" s="18" t="n">
        <v>74500</v>
      </c>
      <c r="AA13" s="18" t="n">
        <v>74000</v>
      </c>
      <c r="AB13" s="18" t="n">
        <v>73500</v>
      </c>
      <c r="AC13" s="18" t="n">
        <v>73000</v>
      </c>
      <c r="AD13" s="18" t="n">
        <v>72300</v>
      </c>
      <c r="AE13" s="18" t="n">
        <v>71600</v>
      </c>
      <c r="AF13" s="18" t="n">
        <v>70900</v>
      </c>
      <c r="AG13" s="18" t="n">
        <v>70200</v>
      </c>
      <c r="AH13" s="18" t="n">
        <v>69500</v>
      </c>
      <c r="AI13" s="18" t="n">
        <v>68800</v>
      </c>
      <c r="AJ13" s="18" t="n">
        <v>68200</v>
      </c>
      <c r="AK13" s="18" t="n">
        <v>67600</v>
      </c>
      <c r="AL13" s="18" t="n">
        <v>67100</v>
      </c>
      <c r="AM13" s="18" t="n">
        <v>66600</v>
      </c>
      <c r="AP13" s="37" t="inlineStr">
        <is>
          <t>短流程产量占比(%)</t>
        </is>
      </c>
      <c r="AQ13" s="30" t="inlineStr">
        <is>
          <t>10</t>
        </is>
      </c>
    </row>
    <row r="14" ht="17.5" customHeight="1">
      <c r="A14" s="34" t="inlineStr">
        <is>
          <t>Step 4: 流程结构</t>
        </is>
      </c>
      <c r="B14" s="35" t="n"/>
      <c r="C14" s="35" t="n"/>
      <c r="D14" s="35" t="n"/>
      <c r="E14" s="35" t="n"/>
      <c r="F14" s="35" t="n"/>
      <c r="G14" s="35" t="n"/>
      <c r="H14" s="35" t="n"/>
      <c r="I14" s="35" t="n"/>
      <c r="J14" s="35" t="n"/>
      <c r="K14" s="35" t="n"/>
      <c r="L14" s="35" t="n"/>
      <c r="M14" s="35" t="n"/>
      <c r="N14" s="35" t="n"/>
      <c r="O14" s="35" t="n"/>
      <c r="P14" s="35" t="n"/>
      <c r="Q14" s="35" t="n"/>
      <c r="R14" s="35" t="n"/>
      <c r="S14" s="35" t="n"/>
      <c r="T14" s="35" t="n"/>
      <c r="U14" s="35" t="n"/>
      <c r="V14" s="35" t="n"/>
      <c r="W14" s="35" t="n"/>
      <c r="X14" s="35" t="n"/>
      <c r="Y14" s="35" t="n"/>
      <c r="Z14" s="35" t="n"/>
      <c r="AA14" s="35" t="n"/>
      <c r="AB14" s="35" t="n"/>
      <c r="AC14" s="35" t="n"/>
      <c r="AD14" s="35" t="n"/>
      <c r="AE14" s="35" t="n"/>
      <c r="AF14" s="35" t="n"/>
      <c r="AG14" s="35" t="n"/>
      <c r="AH14" s="35" t="n"/>
      <c r="AI14" s="35" t="n"/>
      <c r="AJ14" s="35" t="n"/>
      <c r="AK14" s="35" t="n"/>
      <c r="AL14" s="35" t="n"/>
      <c r="AM14" s="36" t="n"/>
      <c r="AP14" s="37" t="inlineStr">
        <is>
          <t>氢冶金产量占比(%)</t>
        </is>
      </c>
      <c r="AQ14" s="30" t="inlineStr">
        <is>
          <t>1</t>
        </is>
      </c>
    </row>
    <row r="15" ht="17" customHeight="1">
      <c r="A15" s="40" t="inlineStr">
        <is>
          <t>短流程产量占比(%)</t>
        </is>
      </c>
      <c r="B15" s="7" t="inlineStr">
        <is>
          <t>二分法校准</t>
        </is>
      </c>
      <c r="C15" s="42" t="n">
        <v>10</v>
      </c>
      <c r="D15" s="42" t="n">
        <v>10.33333333333333</v>
      </c>
      <c r="E15" s="42" t="n">
        <v>10.66666666666667</v>
      </c>
      <c r="F15" s="42" t="n">
        <v>11</v>
      </c>
      <c r="G15" s="42" t="n">
        <v>11.33333333333333</v>
      </c>
      <c r="H15" s="42" t="n">
        <v>11.66666666666667</v>
      </c>
      <c r="I15" s="42" t="n">
        <v>12</v>
      </c>
      <c r="J15" s="42" t="n">
        <v>12.8</v>
      </c>
      <c r="K15" s="42" t="n">
        <v>13.6</v>
      </c>
      <c r="L15" s="42" t="n">
        <v>14.4</v>
      </c>
      <c r="M15" s="42" t="n">
        <v>15.2</v>
      </c>
      <c r="N15" s="42" t="n">
        <v>16</v>
      </c>
      <c r="O15" s="42" t="n">
        <v>17.2</v>
      </c>
      <c r="P15" s="42" t="n">
        <v>18.4</v>
      </c>
      <c r="Q15" s="42" t="n">
        <v>19.6</v>
      </c>
      <c r="R15" s="42" t="n">
        <v>20.8</v>
      </c>
      <c r="S15" s="42" t="n">
        <v>22</v>
      </c>
      <c r="T15" s="42" t="n">
        <v>23</v>
      </c>
      <c r="U15" s="42" t="n">
        <v>24</v>
      </c>
      <c r="V15" s="42" t="n">
        <v>25</v>
      </c>
      <c r="W15" s="42" t="n">
        <v>26</v>
      </c>
      <c r="X15" s="42" t="n">
        <v>27</v>
      </c>
      <c r="Y15" s="42" t="n">
        <v>28</v>
      </c>
      <c r="Z15" s="42" t="n">
        <v>29</v>
      </c>
      <c r="AA15" s="42" t="n">
        <v>30</v>
      </c>
      <c r="AB15" s="42" t="n">
        <v>31</v>
      </c>
      <c r="AC15" s="42" t="n">
        <v>32</v>
      </c>
      <c r="AD15" s="42" t="n">
        <v>33</v>
      </c>
      <c r="AE15" s="42" t="n">
        <v>34</v>
      </c>
      <c r="AF15" s="42" t="n">
        <v>35</v>
      </c>
      <c r="AG15" s="42" t="n">
        <v>36</v>
      </c>
      <c r="AH15" s="42" t="n">
        <v>37</v>
      </c>
      <c r="AI15" s="42" t="n">
        <v>38</v>
      </c>
      <c r="AJ15" s="42" t="n">
        <v>39</v>
      </c>
      <c r="AK15" s="42" t="n">
        <v>40</v>
      </c>
      <c r="AL15" s="42" t="n">
        <v>41</v>
      </c>
      <c r="AM15" s="42" t="n">
        <v>42</v>
      </c>
    </row>
    <row r="16" ht="17" customHeight="1">
      <c r="A16" s="40" t="inlineStr">
        <is>
          <t>氢冶金产量占比(%)</t>
        </is>
      </c>
      <c r="B16" s="7" t="inlineStr">
        <is>
          <t>情景差异化</t>
        </is>
      </c>
      <c r="C16" s="17" t="n">
        <v>1</v>
      </c>
      <c r="D16" s="17" t="n">
        <v>1.133333333333333</v>
      </c>
      <c r="E16" s="17" t="n">
        <v>1.266666666666667</v>
      </c>
      <c r="F16" s="17" t="n">
        <v>1.4</v>
      </c>
      <c r="G16" s="17" t="n">
        <v>1.533333333333333</v>
      </c>
      <c r="H16" s="17" t="n">
        <v>1.666666666666667</v>
      </c>
      <c r="I16" s="17" t="n">
        <v>1.8</v>
      </c>
      <c r="J16" s="17" t="n">
        <v>2.04</v>
      </c>
      <c r="K16" s="17" t="n">
        <v>2.28</v>
      </c>
      <c r="L16" s="17" t="n">
        <v>2.52</v>
      </c>
      <c r="M16" s="17" t="n">
        <v>2.76</v>
      </c>
      <c r="N16" s="17" t="n">
        <v>3</v>
      </c>
      <c r="O16" s="17" t="n">
        <v>3.6</v>
      </c>
      <c r="P16" s="17" t="n">
        <v>4.2</v>
      </c>
      <c r="Q16" s="17" t="n">
        <v>4.8</v>
      </c>
      <c r="R16" s="17" t="n">
        <v>5.4</v>
      </c>
      <c r="S16" s="17" t="n">
        <v>6</v>
      </c>
      <c r="T16" s="17" t="n">
        <v>6.5</v>
      </c>
      <c r="U16" s="17" t="n">
        <v>7</v>
      </c>
      <c r="V16" s="17" t="n">
        <v>7.5</v>
      </c>
      <c r="W16" s="17" t="n">
        <v>8</v>
      </c>
      <c r="X16" s="17" t="n">
        <v>8.5</v>
      </c>
      <c r="Y16" s="17" t="n">
        <v>9</v>
      </c>
      <c r="Z16" s="17" t="n">
        <v>9.5</v>
      </c>
      <c r="AA16" s="17" t="n">
        <v>10</v>
      </c>
      <c r="AB16" s="17" t="n">
        <v>10.5</v>
      </c>
      <c r="AC16" s="17" t="n">
        <v>11</v>
      </c>
      <c r="AD16" s="17" t="n">
        <v>11.4</v>
      </c>
      <c r="AE16" s="17" t="n">
        <v>11.8</v>
      </c>
      <c r="AF16" s="17" t="n">
        <v>12.2</v>
      </c>
      <c r="AG16" s="17" t="n">
        <v>12.6</v>
      </c>
      <c r="AH16" s="17" t="n">
        <v>13</v>
      </c>
      <c r="AI16" s="17" t="n">
        <v>13.4</v>
      </c>
      <c r="AJ16" s="17" t="n">
        <v>13.8</v>
      </c>
      <c r="AK16" s="17" t="n">
        <v>14.2</v>
      </c>
      <c r="AL16" s="17" t="n">
        <v>14.6</v>
      </c>
      <c r="AM16" s="17" t="n">
        <v>15</v>
      </c>
      <c r="AP16" s="37" t="inlineStr">
        <is>
          <t>吨钢耗废钢量</t>
        </is>
      </c>
      <c r="AQ16" s="30" t="inlineStr">
        <is>
          <t>1.1</t>
        </is>
      </c>
    </row>
    <row r="17" ht="17" customHeight="1">
      <c r="A17" s="40" t="inlineStr">
        <is>
          <t>长流程产量占比(%)</t>
        </is>
      </c>
      <c r="B17" s="7">
        <f>1-短流程%-氢冶金%</f>
        <v/>
      </c>
      <c r="C17" s="43">
        <f>1-C15/100-C16/100</f>
        <v/>
      </c>
      <c r="D17" s="43">
        <f>1-D15/100-D16/100</f>
        <v/>
      </c>
      <c r="E17" s="43">
        <f>1-E15/100-E16/100</f>
        <v/>
      </c>
      <c r="F17" s="43">
        <f>1-F15/100-F16/100</f>
        <v/>
      </c>
      <c r="G17" s="43">
        <f>1-G15/100-G16/100</f>
        <v/>
      </c>
      <c r="H17" s="43">
        <f>1-H15/100-H16/100</f>
        <v/>
      </c>
      <c r="I17" s="43">
        <f>1-I15/100-I16/100</f>
        <v/>
      </c>
      <c r="J17" s="43">
        <f>1-J15/100-J16/100</f>
        <v/>
      </c>
      <c r="K17" s="43">
        <f>1-K15/100-K16/100</f>
        <v/>
      </c>
      <c r="L17" s="43">
        <f>1-L15/100-L16/100</f>
        <v/>
      </c>
      <c r="M17" s="43">
        <f>1-M15/100-M16/100</f>
        <v/>
      </c>
      <c r="N17" s="43">
        <f>1-N15/100-N16/100</f>
        <v/>
      </c>
      <c r="O17" s="43">
        <f>1-O15/100-O16/100</f>
        <v/>
      </c>
      <c r="P17" s="43">
        <f>1-P15/100-P16/100</f>
        <v/>
      </c>
      <c r="Q17" s="43">
        <f>1-Q15/100-Q16/100</f>
        <v/>
      </c>
      <c r="R17" s="43">
        <f>1-R15/100-R16/100</f>
        <v/>
      </c>
      <c r="S17" s="43">
        <f>1-S15/100-S16/100</f>
        <v/>
      </c>
      <c r="T17" s="43">
        <f>1-T15/100-T16/100</f>
        <v/>
      </c>
      <c r="U17" s="43">
        <f>1-U15/100-U16/100</f>
        <v/>
      </c>
      <c r="V17" s="43">
        <f>1-V15/100-V16/100</f>
        <v/>
      </c>
      <c r="W17" s="43">
        <f>1-W15/100-W16/100</f>
        <v/>
      </c>
      <c r="X17" s="43">
        <f>1-X15/100-X16/100</f>
        <v/>
      </c>
      <c r="Y17" s="43">
        <f>1-Y15/100-Y16/100</f>
        <v/>
      </c>
      <c r="Z17" s="43">
        <f>1-Z15/100-Z16/100</f>
        <v/>
      </c>
      <c r="AA17" s="43">
        <f>1-AA15/100-AA16/100</f>
        <v/>
      </c>
      <c r="AB17" s="43">
        <f>1-AB15/100-AB16/100</f>
        <v/>
      </c>
      <c r="AC17" s="43">
        <f>1-AC15/100-AC16/100</f>
        <v/>
      </c>
      <c r="AD17" s="43">
        <f>1-AD15/100-AD16/100</f>
        <v/>
      </c>
      <c r="AE17" s="43">
        <f>1-AE15/100-AE16/100</f>
        <v/>
      </c>
      <c r="AF17" s="43">
        <f>1-AF15/100-AF16/100</f>
        <v/>
      </c>
      <c r="AG17" s="43">
        <f>1-AG15/100-AG16/100</f>
        <v/>
      </c>
      <c r="AH17" s="43">
        <f>1-AH15/100-AH16/100</f>
        <v/>
      </c>
      <c r="AI17" s="43">
        <f>1-AI15/100-AI16/100</f>
        <v/>
      </c>
      <c r="AJ17" s="43">
        <f>1-AJ15/100-AJ16/100</f>
        <v/>
      </c>
      <c r="AK17" s="43">
        <f>1-AK15/100-AK16/100</f>
        <v/>
      </c>
      <c r="AL17" s="43">
        <f>1-AL15/100-AL16/100</f>
        <v/>
      </c>
      <c r="AM17" s="43">
        <f>1-AM15/100-AM16/100</f>
        <v/>
      </c>
      <c r="AP17" s="37" t="inlineStr">
        <is>
          <t>吨钢耗铁水量</t>
        </is>
      </c>
      <c r="AQ17" s="30" t="inlineStr">
        <is>
          <t>1.053</t>
        </is>
      </c>
    </row>
    <row r="18" ht="17" customHeight="1">
      <c r="A18" s="2" t="inlineStr">
        <is>
          <t>长流程产量(万吨)</t>
        </is>
      </c>
      <c r="B18" s="7">
        <f>长流程产量公式</f>
        <v/>
      </c>
      <c r="C18" s="20">
        <f>C13*C17</f>
        <v/>
      </c>
      <c r="D18" s="20">
        <f>D13*D17</f>
        <v/>
      </c>
      <c r="E18" s="20">
        <f>E13*E17</f>
        <v/>
      </c>
      <c r="F18" s="20">
        <f>F13*F17</f>
        <v/>
      </c>
      <c r="G18" s="20">
        <f>G13*G17</f>
        <v/>
      </c>
      <c r="H18" s="20">
        <f>H13*H17</f>
        <v/>
      </c>
      <c r="I18" s="20">
        <f>I13*I17</f>
        <v/>
      </c>
      <c r="J18" s="20">
        <f>J13*J17</f>
        <v/>
      </c>
      <c r="K18" s="20">
        <f>K13*K17</f>
        <v/>
      </c>
      <c r="L18" s="20">
        <f>L13*L17</f>
        <v/>
      </c>
      <c r="M18" s="20">
        <f>M13*M17</f>
        <v/>
      </c>
      <c r="N18" s="20">
        <f>N13*N17</f>
        <v/>
      </c>
      <c r="O18" s="20">
        <f>O13*O17</f>
        <v/>
      </c>
      <c r="P18" s="20">
        <f>P13*P17</f>
        <v/>
      </c>
      <c r="Q18" s="20">
        <f>Q13*Q17</f>
        <v/>
      </c>
      <c r="R18" s="20">
        <f>R13*R17</f>
        <v/>
      </c>
      <c r="S18" s="20">
        <f>S13*S17</f>
        <v/>
      </c>
      <c r="T18" s="20">
        <f>T13*T17</f>
        <v/>
      </c>
      <c r="U18" s="20">
        <f>U13*U17</f>
        <v/>
      </c>
      <c r="V18" s="20">
        <f>V13*V17</f>
        <v/>
      </c>
      <c r="W18" s="20">
        <f>W13*W17</f>
        <v/>
      </c>
      <c r="X18" s="20">
        <f>X13*X17</f>
        <v/>
      </c>
      <c r="Y18" s="20">
        <f>Y13*Y17</f>
        <v/>
      </c>
      <c r="Z18" s="20">
        <f>Z13*Z17</f>
        <v/>
      </c>
      <c r="AA18" s="20">
        <f>AA13*AA17</f>
        <v/>
      </c>
      <c r="AB18" s="20">
        <f>AB13*AB17</f>
        <v/>
      </c>
      <c r="AC18" s="20">
        <f>AC13*AC17</f>
        <v/>
      </c>
      <c r="AD18" s="20">
        <f>AD13*AD17</f>
        <v/>
      </c>
      <c r="AE18" s="20">
        <f>AE13*AE17</f>
        <v/>
      </c>
      <c r="AF18" s="20">
        <f>AF13*AF17</f>
        <v/>
      </c>
      <c r="AG18" s="20">
        <f>AG13*AG17</f>
        <v/>
      </c>
      <c r="AH18" s="20">
        <f>AH13*AH17</f>
        <v/>
      </c>
      <c r="AI18" s="20">
        <f>AI13*AI17</f>
        <v/>
      </c>
      <c r="AJ18" s="20">
        <f>AJ13*AJ17</f>
        <v/>
      </c>
      <c r="AK18" s="20">
        <f>AK13*AK17</f>
        <v/>
      </c>
      <c r="AL18" s="20">
        <f>AL13*AL17</f>
        <v/>
      </c>
      <c r="AM18" s="20">
        <f>AM13*AM17</f>
        <v/>
      </c>
      <c r="AP18" s="37" t="inlineStr">
        <is>
          <t>吨铁水耗铁矿石量</t>
        </is>
      </c>
      <c r="AQ18" s="30" t="inlineStr">
        <is>
          <t>1.65</t>
        </is>
      </c>
    </row>
    <row r="19" ht="17" customHeight="1">
      <c r="A19" s="2" t="inlineStr">
        <is>
          <t>短流程产量(万吨)</t>
        </is>
      </c>
      <c r="B19" s="7">
        <f>短流程产量公式</f>
        <v/>
      </c>
      <c r="C19" s="20">
        <f>C13*C15/100</f>
        <v/>
      </c>
      <c r="D19" s="20">
        <f>D13*D15/100</f>
        <v/>
      </c>
      <c r="E19" s="20">
        <f>E13*E15/100</f>
        <v/>
      </c>
      <c r="F19" s="20">
        <f>F13*F15/100</f>
        <v/>
      </c>
      <c r="G19" s="20">
        <f>G13*G15/100</f>
        <v/>
      </c>
      <c r="H19" s="20">
        <f>H13*H15/100</f>
        <v/>
      </c>
      <c r="I19" s="20">
        <f>I13*I15/100</f>
        <v/>
      </c>
      <c r="J19" s="20">
        <f>J13*J15/100</f>
        <v/>
      </c>
      <c r="K19" s="20">
        <f>K13*K15/100</f>
        <v/>
      </c>
      <c r="L19" s="20">
        <f>L13*L15/100</f>
        <v/>
      </c>
      <c r="M19" s="20">
        <f>M13*M15/100</f>
        <v/>
      </c>
      <c r="N19" s="20">
        <f>N13*N15/100</f>
        <v/>
      </c>
      <c r="O19" s="20">
        <f>O13*O15/100</f>
        <v/>
      </c>
      <c r="P19" s="20">
        <f>P13*P15/100</f>
        <v/>
      </c>
      <c r="Q19" s="20">
        <f>Q13*Q15/100</f>
        <v/>
      </c>
      <c r="R19" s="20">
        <f>R13*R15/100</f>
        <v/>
      </c>
      <c r="S19" s="20">
        <f>S13*S15/100</f>
        <v/>
      </c>
      <c r="T19" s="20">
        <f>T13*T15/100</f>
        <v/>
      </c>
      <c r="U19" s="20">
        <f>U13*U15/100</f>
        <v/>
      </c>
      <c r="V19" s="20">
        <f>V13*V15/100</f>
        <v/>
      </c>
      <c r="W19" s="20">
        <f>W13*W15/100</f>
        <v/>
      </c>
      <c r="X19" s="20">
        <f>X13*X15/100</f>
        <v/>
      </c>
      <c r="Y19" s="20">
        <f>Y13*Y15/100</f>
        <v/>
      </c>
      <c r="Z19" s="20">
        <f>Z13*Z15/100</f>
        <v/>
      </c>
      <c r="AA19" s="20">
        <f>AA13*AA15/100</f>
        <v/>
      </c>
      <c r="AB19" s="20">
        <f>AB13*AB15/100</f>
        <v/>
      </c>
      <c r="AC19" s="20">
        <f>AC13*AC15/100</f>
        <v/>
      </c>
      <c r="AD19" s="20">
        <f>AD13*AD15/100</f>
        <v/>
      </c>
      <c r="AE19" s="20">
        <f>AE13*AE15/100</f>
        <v/>
      </c>
      <c r="AF19" s="20">
        <f>AF13*AF15/100</f>
        <v/>
      </c>
      <c r="AG19" s="20">
        <f>AG13*AG15/100</f>
        <v/>
      </c>
      <c r="AH19" s="20">
        <f>AH13*AH15/100</f>
        <v/>
      </c>
      <c r="AI19" s="20">
        <f>AI13*AI15/100</f>
        <v/>
      </c>
      <c r="AJ19" s="20">
        <f>AJ13*AJ15/100</f>
        <v/>
      </c>
      <c r="AK19" s="20">
        <f>AK13*AK15/100</f>
        <v/>
      </c>
      <c r="AL19" s="20">
        <f>AL13*AL15/100</f>
        <v/>
      </c>
      <c r="AM19" s="20">
        <f>AM13*AM15/100</f>
        <v/>
      </c>
    </row>
    <row r="20" ht="17" customHeight="1">
      <c r="A20" s="2" t="inlineStr">
        <is>
          <t>氢冶金产量(万吨)</t>
        </is>
      </c>
      <c r="B20" s="7">
        <f>氢冶金产量公式</f>
        <v/>
      </c>
      <c r="C20" s="20">
        <f>C13*C16/100</f>
        <v/>
      </c>
      <c r="D20" s="20">
        <f>D13*D16/100</f>
        <v/>
      </c>
      <c r="E20" s="20">
        <f>E13*E16/100</f>
        <v/>
      </c>
      <c r="F20" s="20">
        <f>F13*F16/100</f>
        <v/>
      </c>
      <c r="G20" s="20">
        <f>G13*G16/100</f>
        <v/>
      </c>
      <c r="H20" s="20">
        <f>H13*H16/100</f>
        <v/>
      </c>
      <c r="I20" s="20">
        <f>I13*I16/100</f>
        <v/>
      </c>
      <c r="J20" s="20">
        <f>J13*J16/100</f>
        <v/>
      </c>
      <c r="K20" s="20">
        <f>K13*K16/100</f>
        <v/>
      </c>
      <c r="L20" s="20">
        <f>L13*L16/100</f>
        <v/>
      </c>
      <c r="M20" s="20">
        <f>M13*M16/100</f>
        <v/>
      </c>
      <c r="N20" s="20">
        <f>N13*N16/100</f>
        <v/>
      </c>
      <c r="O20" s="20">
        <f>O13*O16/100</f>
        <v/>
      </c>
      <c r="P20" s="20">
        <f>P13*P16/100</f>
        <v/>
      </c>
      <c r="Q20" s="20">
        <f>Q13*Q16/100</f>
        <v/>
      </c>
      <c r="R20" s="20">
        <f>R13*R16/100</f>
        <v/>
      </c>
      <c r="S20" s="20">
        <f>S13*S16/100</f>
        <v/>
      </c>
      <c r="T20" s="20">
        <f>T13*T16/100</f>
        <v/>
      </c>
      <c r="U20" s="20">
        <f>U13*U16/100</f>
        <v/>
      </c>
      <c r="V20" s="20">
        <f>V13*V16/100</f>
        <v/>
      </c>
      <c r="W20" s="20">
        <f>W13*W16/100</f>
        <v/>
      </c>
      <c r="X20" s="20">
        <f>X13*X16/100</f>
        <v/>
      </c>
      <c r="Y20" s="20">
        <f>Y13*Y16/100</f>
        <v/>
      </c>
      <c r="Z20" s="20">
        <f>Z13*Z16/100</f>
        <v/>
      </c>
      <c r="AA20" s="20">
        <f>AA13*AA16/100</f>
        <v/>
      </c>
      <c r="AB20" s="20">
        <f>AB13*AB16/100</f>
        <v/>
      </c>
      <c r="AC20" s="20">
        <f>AC13*AC16/100</f>
        <v/>
      </c>
      <c r="AD20" s="20">
        <f>AD13*AD16/100</f>
        <v/>
      </c>
      <c r="AE20" s="20">
        <f>AE13*AE16/100</f>
        <v/>
      </c>
      <c r="AF20" s="20">
        <f>AF13*AF16/100</f>
        <v/>
      </c>
      <c r="AG20" s="20">
        <f>AG13*AG16/100</f>
        <v/>
      </c>
      <c r="AH20" s="20">
        <f>AH13*AH16/100</f>
        <v/>
      </c>
      <c r="AI20" s="20">
        <f>AI13*AI16/100</f>
        <v/>
      </c>
      <c r="AJ20" s="20">
        <f>AJ13*AJ16/100</f>
        <v/>
      </c>
      <c r="AK20" s="20">
        <f>AK13*AK16/100</f>
        <v/>
      </c>
      <c r="AL20" s="20">
        <f>AL13*AL16/100</f>
        <v/>
      </c>
      <c r="AM20" s="20">
        <f>AM13*AM16/100</f>
        <v/>
      </c>
      <c r="AP20" s="37" t="inlineStr">
        <is>
          <t>BF-BOF碳排放强度</t>
        </is>
      </c>
      <c r="AQ20" s="30" t="inlineStr">
        <is>
          <t>1.80 tCO2/t</t>
        </is>
      </c>
    </row>
    <row r="21" ht="17.5" customHeight="1">
      <c r="A21" s="34" t="inlineStr">
        <is>
          <t>Step 5: 铁素资源结构</t>
        </is>
      </c>
      <c r="B21" s="35" t="n"/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6" t="n"/>
      <c r="AP21" s="37" t="inlineStr">
        <is>
          <t>Scrap-EAF碳排放强度</t>
        </is>
      </c>
      <c r="AQ21" s="30" t="inlineStr">
        <is>
          <t>0.45 tCO2/t</t>
        </is>
      </c>
    </row>
    <row r="22" ht="28" customHeight="1">
      <c r="A22" s="7" t="inlineStr">
        <is>
          <t>废钢资源量参考(万吨/年)</t>
        </is>
      </c>
      <c r="B22" s="7" t="inlineStr">
        <is>
          <t>崔志峰等(2023): 2045峰值约5亿吨, 2050年4.7-5.2亿吨</t>
        </is>
      </c>
      <c r="C22" s="21" t="n">
        <v>28808</v>
      </c>
      <c r="D22" s="21" t="n">
        <v>28229</v>
      </c>
      <c r="E22" s="21" t="n">
        <v>29969</v>
      </c>
      <c r="F22" s="21" t="n">
        <v>29387</v>
      </c>
      <c r="G22" s="21" t="n">
        <v>29387</v>
      </c>
      <c r="H22" s="21" t="n">
        <v>28789</v>
      </c>
      <c r="I22" s="21" t="n">
        <v>32769</v>
      </c>
      <c r="J22" s="21" t="n">
        <v>34491</v>
      </c>
      <c r="K22" s="21" t="n">
        <v>36732</v>
      </c>
      <c r="L22" s="21" t="n">
        <v>37921</v>
      </c>
      <c r="M22" s="21" t="n">
        <v>40610</v>
      </c>
      <c r="N22" s="21" t="n">
        <v>41361</v>
      </c>
      <c r="O22" s="21" t="n">
        <v>39766</v>
      </c>
      <c r="P22" s="21" t="n">
        <v>40502</v>
      </c>
      <c r="Q22" s="21" t="n">
        <v>43587</v>
      </c>
      <c r="R22" s="21" t="n">
        <v>48920</v>
      </c>
      <c r="S22" s="21" t="n">
        <v>49354</v>
      </c>
      <c r="T22" s="21" t="n">
        <v>53285</v>
      </c>
      <c r="U22" s="21" t="n">
        <v>53684</v>
      </c>
      <c r="V22" s="21" t="n">
        <v>57951</v>
      </c>
      <c r="W22" s="21" t="n">
        <v>57041</v>
      </c>
      <c r="X22" s="21" t="n">
        <v>57897</v>
      </c>
      <c r="Y22" s="21" t="n">
        <v>58206</v>
      </c>
      <c r="Z22" s="21" t="n">
        <v>58406</v>
      </c>
      <c r="AA22" s="21" t="n">
        <v>58447</v>
      </c>
      <c r="AB22" s="21" t="n">
        <v>58384</v>
      </c>
      <c r="AC22" s="21" t="n">
        <v>58168</v>
      </c>
      <c r="AD22" s="21" t="n">
        <v>57730</v>
      </c>
      <c r="AE22" s="21" t="n">
        <v>57366</v>
      </c>
      <c r="AF22" s="21" t="n">
        <v>57787</v>
      </c>
      <c r="AG22" s="21" t="n">
        <v>57476</v>
      </c>
      <c r="AH22" s="21" t="n">
        <v>57995</v>
      </c>
      <c r="AI22" s="21" t="n">
        <v>56989</v>
      </c>
      <c r="AJ22" s="21" t="n">
        <v>55995</v>
      </c>
      <c r="AK22" s="21" t="n">
        <v>55102</v>
      </c>
      <c r="AL22" s="21" t="n">
        <v>54192</v>
      </c>
      <c r="AM22" s="21" t="n">
        <v>53288</v>
      </c>
      <c r="AP22" s="37" t="inlineStr">
        <is>
          <t>DRI-EAF碳排放强度</t>
        </is>
      </c>
      <c r="AQ22" s="30" t="inlineStr">
        <is>
          <t>1.65 tCO2/t</t>
        </is>
      </c>
    </row>
    <row r="23" ht="17" customHeight="1">
      <c r="A23" s="2" t="inlineStr">
        <is>
          <t>长流程废钢消耗量(万吨)</t>
        </is>
      </c>
      <c r="B23" s="7" t="inlineStr">
        <is>
          <t>铁素资源公式</t>
        </is>
      </c>
      <c r="C23" s="20">
        <f>C18*0.3</f>
        <v/>
      </c>
      <c r="D23" s="20">
        <f>D18*0.3</f>
        <v/>
      </c>
      <c r="E23" s="20">
        <f>E18*0.3</f>
        <v/>
      </c>
      <c r="F23" s="20">
        <f>F18*0.3</f>
        <v/>
      </c>
      <c r="G23" s="20">
        <f>G18*0.3</f>
        <v/>
      </c>
      <c r="H23" s="20">
        <f>H18*0.3</f>
        <v/>
      </c>
      <c r="I23" s="20">
        <f>I18*0.3</f>
        <v/>
      </c>
      <c r="J23" s="20">
        <f>J18*0.3</f>
        <v/>
      </c>
      <c r="K23" s="20">
        <f>K18*0.3</f>
        <v/>
      </c>
      <c r="L23" s="20">
        <f>L18*0.3</f>
        <v/>
      </c>
      <c r="M23" s="20">
        <f>M18*0.3</f>
        <v/>
      </c>
      <c r="N23" s="20">
        <f>N18*0.3</f>
        <v/>
      </c>
      <c r="O23" s="20">
        <f>O18*0.3</f>
        <v/>
      </c>
      <c r="P23" s="20">
        <f>P18*0.3</f>
        <v/>
      </c>
      <c r="Q23" s="20">
        <f>Q18*0.3</f>
        <v/>
      </c>
      <c r="R23" s="20">
        <f>R18*0.3</f>
        <v/>
      </c>
      <c r="S23" s="20">
        <f>S18*0.3</f>
        <v/>
      </c>
      <c r="T23" s="20">
        <f>T18*0.3</f>
        <v/>
      </c>
      <c r="U23" s="20">
        <f>U18*0.3</f>
        <v/>
      </c>
      <c r="V23" s="20">
        <f>V18*0.3</f>
        <v/>
      </c>
      <c r="W23" s="20">
        <f>W18*0.3</f>
        <v/>
      </c>
      <c r="X23" s="20">
        <f>X18*0.3</f>
        <v/>
      </c>
      <c r="Y23" s="20">
        <f>Y18*0.3</f>
        <v/>
      </c>
      <c r="Z23" s="20">
        <f>Z18*0.3</f>
        <v/>
      </c>
      <c r="AA23" s="20">
        <f>AA18*0.3</f>
        <v/>
      </c>
      <c r="AB23" s="20">
        <f>AB18*0.3</f>
        <v/>
      </c>
      <c r="AC23" s="20">
        <f>AC18*0.3</f>
        <v/>
      </c>
      <c r="AD23" s="20">
        <f>AD18*0.3</f>
        <v/>
      </c>
      <c r="AE23" s="20">
        <f>AE18*0.3</f>
        <v/>
      </c>
      <c r="AF23" s="20">
        <f>AF18*0.3</f>
        <v/>
      </c>
      <c r="AG23" s="20">
        <f>AG18*0.3</f>
        <v/>
      </c>
      <c r="AH23" s="20">
        <f>AH18*0.3</f>
        <v/>
      </c>
      <c r="AI23" s="20">
        <f>AI18*0.3</f>
        <v/>
      </c>
      <c r="AJ23" s="20">
        <f>AJ18*0.3</f>
        <v/>
      </c>
      <c r="AK23" s="20">
        <f>AK18*0.3</f>
        <v/>
      </c>
      <c r="AL23" s="20">
        <f>AL18*0.3</f>
        <v/>
      </c>
      <c r="AM23" s="20">
        <f>AM18*0.3</f>
        <v/>
      </c>
      <c r="AP23" s="37" t="inlineStr">
        <is>
          <t>铁水碳排放强度</t>
        </is>
      </c>
      <c r="AQ23" s="30" t="inlineStr">
        <is>
          <t>1.26 tCO2/t</t>
        </is>
      </c>
    </row>
    <row r="24" ht="17" customHeight="1">
      <c r="A24" s="2" t="inlineStr">
        <is>
          <t>长流程矿石消耗量(万吨)</t>
        </is>
      </c>
      <c r="B24" s="7" t="inlineStr">
        <is>
          <t>铁素资源公式</t>
        </is>
      </c>
      <c r="C24" s="20">
        <f>(C18-C23/1.1)*1.053*1.65</f>
        <v/>
      </c>
      <c r="D24" s="20">
        <f>(D18-D23/1.1)*1.053*1.65</f>
        <v/>
      </c>
      <c r="E24" s="20">
        <f>(E18-E23/1.1)*1.053*1.65</f>
        <v/>
      </c>
      <c r="F24" s="20">
        <f>(F18-F23/1.1)*1.053*1.65</f>
        <v/>
      </c>
      <c r="G24" s="20">
        <f>(G18-G23/1.1)*1.053*1.65</f>
        <v/>
      </c>
      <c r="H24" s="20">
        <f>(H18-H23/1.1)*1.053*1.65</f>
        <v/>
      </c>
      <c r="I24" s="20">
        <f>(I18-I23/1.1)*1.053*1.65</f>
        <v/>
      </c>
      <c r="J24" s="20">
        <f>(J18-J23/1.1)*1.053*1.65</f>
        <v/>
      </c>
      <c r="K24" s="20">
        <f>(K18-K23/1.1)*1.053*1.65</f>
        <v/>
      </c>
      <c r="L24" s="20">
        <f>(L18-L23/1.1)*1.053*1.65</f>
        <v/>
      </c>
      <c r="M24" s="20">
        <f>(M18-M23/1.1)*1.053*1.65</f>
        <v/>
      </c>
      <c r="N24" s="20">
        <f>(N18-N23/1.1)*1.053*1.65</f>
        <v/>
      </c>
      <c r="O24" s="20">
        <f>(O18-O23/1.1)*1.053*1.65</f>
        <v/>
      </c>
      <c r="P24" s="20">
        <f>(P18-P23/1.1)*1.053*1.65</f>
        <v/>
      </c>
      <c r="Q24" s="20">
        <f>(Q18-Q23/1.1)*1.053*1.65</f>
        <v/>
      </c>
      <c r="R24" s="20">
        <f>(R18-R23/1.1)*1.053*1.65</f>
        <v/>
      </c>
      <c r="S24" s="20">
        <f>(S18-S23/1.1)*1.053*1.65</f>
        <v/>
      </c>
      <c r="T24" s="20">
        <f>(T18-T23/1.1)*1.053*1.65</f>
        <v/>
      </c>
      <c r="U24" s="20">
        <f>(U18-U23/1.1)*1.053*1.65</f>
        <v/>
      </c>
      <c r="V24" s="20">
        <f>(V18-V23/1.1)*1.053*1.65</f>
        <v/>
      </c>
      <c r="W24" s="20">
        <f>(W18-W23/1.1)*1.053*1.65</f>
        <v/>
      </c>
      <c r="X24" s="20">
        <f>(X18-X23/1.1)*1.053*1.65</f>
        <v/>
      </c>
      <c r="Y24" s="20">
        <f>(Y18-Y23/1.1)*1.053*1.65</f>
        <v/>
      </c>
      <c r="Z24" s="20">
        <f>(Z18-Z23/1.1)*1.053*1.65</f>
        <v/>
      </c>
      <c r="AA24" s="20">
        <f>(AA18-AA23/1.1)*1.053*1.65</f>
        <v/>
      </c>
      <c r="AB24" s="20">
        <f>(AB18-AB23/1.1)*1.053*1.65</f>
        <v/>
      </c>
      <c r="AC24" s="20">
        <f>(AC18-AC23/1.1)*1.053*1.65</f>
        <v/>
      </c>
      <c r="AD24" s="20">
        <f>(AD18-AD23/1.1)*1.053*1.65</f>
        <v/>
      </c>
      <c r="AE24" s="20">
        <f>(AE18-AE23/1.1)*1.053*1.65</f>
        <v/>
      </c>
      <c r="AF24" s="20">
        <f>(AF18-AF23/1.1)*1.053*1.65</f>
        <v/>
      </c>
      <c r="AG24" s="20">
        <f>(AG18-AG23/1.1)*1.053*1.65</f>
        <v/>
      </c>
      <c r="AH24" s="20">
        <f>(AH18-AH23/1.1)*1.053*1.65</f>
        <v/>
      </c>
      <c r="AI24" s="20">
        <f>(AI18-AI23/1.1)*1.053*1.65</f>
        <v/>
      </c>
      <c r="AJ24" s="20">
        <f>(AJ18-AJ23/1.1)*1.053*1.65</f>
        <v/>
      </c>
      <c r="AK24" s="20">
        <f>(AK18-AK23/1.1)*1.053*1.65</f>
        <v/>
      </c>
      <c r="AL24" s="20">
        <f>(AL18-AL23/1.1)*1.053*1.65</f>
        <v/>
      </c>
      <c r="AM24" s="20">
        <f>(AM18-AM23/1.1)*1.053*1.65</f>
        <v/>
      </c>
    </row>
    <row r="25" ht="17" customHeight="1">
      <c r="A25" s="2" t="inlineStr">
        <is>
          <t>短流程废钢消耗量(万吨)</t>
        </is>
      </c>
      <c r="B25" s="7" t="inlineStr">
        <is>
          <t>铁素资源公式</t>
        </is>
      </c>
      <c r="C25" s="20">
        <f>C19*1.1</f>
        <v/>
      </c>
      <c r="D25" s="20">
        <f>D19*1.1</f>
        <v/>
      </c>
      <c r="E25" s="20">
        <f>E19*1.1</f>
        <v/>
      </c>
      <c r="F25" s="20">
        <f>F19*1.1</f>
        <v/>
      </c>
      <c r="G25" s="20">
        <f>G19*1.1</f>
        <v/>
      </c>
      <c r="H25" s="20">
        <f>H19*1.1</f>
        <v/>
      </c>
      <c r="I25" s="20">
        <f>I19*1.1</f>
        <v/>
      </c>
      <c r="J25" s="20">
        <f>J19*1.1</f>
        <v/>
      </c>
      <c r="K25" s="20">
        <f>K19*1.1</f>
        <v/>
      </c>
      <c r="L25" s="20">
        <f>L19*1.1</f>
        <v/>
      </c>
      <c r="M25" s="20">
        <f>M19*1.1</f>
        <v/>
      </c>
      <c r="N25" s="20">
        <f>N19*1.1</f>
        <v/>
      </c>
      <c r="O25" s="20">
        <f>O19*1.1</f>
        <v/>
      </c>
      <c r="P25" s="20">
        <f>P19*1.1</f>
        <v/>
      </c>
      <c r="Q25" s="20">
        <f>Q19*1.1</f>
        <v/>
      </c>
      <c r="R25" s="20">
        <f>R19*1.1</f>
        <v/>
      </c>
      <c r="S25" s="20">
        <f>S19*1.1</f>
        <v/>
      </c>
      <c r="T25" s="20">
        <f>T19*1.1</f>
        <v/>
      </c>
      <c r="U25" s="20">
        <f>U19*1.1</f>
        <v/>
      </c>
      <c r="V25" s="20">
        <f>V19*1.1</f>
        <v/>
      </c>
      <c r="W25" s="20">
        <f>W19*1.1</f>
        <v/>
      </c>
      <c r="X25" s="20">
        <f>X19*1.1</f>
        <v/>
      </c>
      <c r="Y25" s="20">
        <f>Y19*1.1</f>
        <v/>
      </c>
      <c r="Z25" s="20">
        <f>Z19*1.1</f>
        <v/>
      </c>
      <c r="AA25" s="20">
        <f>AA19*1.1</f>
        <v/>
      </c>
      <c r="AB25" s="20">
        <f>AB19*1.1</f>
        <v/>
      </c>
      <c r="AC25" s="20">
        <f>AC19*1.1</f>
        <v/>
      </c>
      <c r="AD25" s="20">
        <f>AD19*1.1</f>
        <v/>
      </c>
      <c r="AE25" s="20">
        <f>AE19*1.1</f>
        <v/>
      </c>
      <c r="AF25" s="20">
        <f>AF19*1.1</f>
        <v/>
      </c>
      <c r="AG25" s="20">
        <f>AG19*1.1</f>
        <v/>
      </c>
      <c r="AH25" s="20">
        <f>AH19*1.1</f>
        <v/>
      </c>
      <c r="AI25" s="20">
        <f>AI19*1.1</f>
        <v/>
      </c>
      <c r="AJ25" s="20">
        <f>AJ19*1.1</f>
        <v/>
      </c>
      <c r="AK25" s="20">
        <f>AK19*1.1</f>
        <v/>
      </c>
      <c r="AL25" s="20">
        <f>AL19*1.1</f>
        <v/>
      </c>
      <c r="AM25" s="20">
        <f>AM19*1.1</f>
        <v/>
      </c>
      <c r="AP25" s="40" t="inlineStr">
        <is>
          <t>---电力参数---</t>
        </is>
      </c>
      <c r="AQ25" s="36" t="n"/>
    </row>
    <row r="26" ht="17" customHeight="1">
      <c r="A26" s="2" t="inlineStr">
        <is>
          <t>氢冶金废钢消耗量(万吨)</t>
        </is>
      </c>
      <c r="B26" s="7" t="inlineStr">
        <is>
          <t>铁素资源公式</t>
        </is>
      </c>
      <c r="C26" s="20">
        <f>C20*0.5</f>
        <v/>
      </c>
      <c r="D26" s="20">
        <f>D20*0.5</f>
        <v/>
      </c>
      <c r="E26" s="20">
        <f>E20*0.5</f>
        <v/>
      </c>
      <c r="F26" s="20">
        <f>F20*0.5</f>
        <v/>
      </c>
      <c r="G26" s="20">
        <f>G20*0.5</f>
        <v/>
      </c>
      <c r="H26" s="20">
        <f>H20*0.5</f>
        <v/>
      </c>
      <c r="I26" s="20">
        <f>I20*0.5</f>
        <v/>
      </c>
      <c r="J26" s="20">
        <f>J20*0.5</f>
        <v/>
      </c>
      <c r="K26" s="20">
        <f>K20*0.5</f>
        <v/>
      </c>
      <c r="L26" s="20">
        <f>L20*0.5</f>
        <v/>
      </c>
      <c r="M26" s="20">
        <f>M20*0.5</f>
        <v/>
      </c>
      <c r="N26" s="20">
        <f>N20*0.5</f>
        <v/>
      </c>
      <c r="O26" s="20">
        <f>O20*0.5</f>
        <v/>
      </c>
      <c r="P26" s="20">
        <f>P20*0.5</f>
        <v/>
      </c>
      <c r="Q26" s="20">
        <f>Q20*0.5</f>
        <v/>
      </c>
      <c r="R26" s="20">
        <f>R20*0.5</f>
        <v/>
      </c>
      <c r="S26" s="20">
        <f>S20*0.5</f>
        <v/>
      </c>
      <c r="T26" s="20">
        <f>T20*0.5</f>
        <v/>
      </c>
      <c r="U26" s="20">
        <f>U20*0.5</f>
        <v/>
      </c>
      <c r="V26" s="20">
        <f>V20*0.5</f>
        <v/>
      </c>
      <c r="W26" s="20">
        <f>W20*0.5</f>
        <v/>
      </c>
      <c r="X26" s="20">
        <f>X20*0.5</f>
        <v/>
      </c>
      <c r="Y26" s="20">
        <f>Y20*0.5</f>
        <v/>
      </c>
      <c r="Z26" s="20">
        <f>Z20*0.5</f>
        <v/>
      </c>
      <c r="AA26" s="20">
        <f>AA20*0.5</f>
        <v/>
      </c>
      <c r="AB26" s="20">
        <f>AB20*0.5</f>
        <v/>
      </c>
      <c r="AC26" s="20">
        <f>AC20*0.5</f>
        <v/>
      </c>
      <c r="AD26" s="20">
        <f>AD20*0.5</f>
        <v/>
      </c>
      <c r="AE26" s="20">
        <f>AE20*0.5</f>
        <v/>
      </c>
      <c r="AF26" s="20">
        <f>AF20*0.5</f>
        <v/>
      </c>
      <c r="AG26" s="20">
        <f>AG20*0.5</f>
        <v/>
      </c>
      <c r="AH26" s="20">
        <f>AH20*0.5</f>
        <v/>
      </c>
      <c r="AI26" s="20">
        <f>AI20*0.5</f>
        <v/>
      </c>
      <c r="AJ26" s="20">
        <f>AJ20*0.5</f>
        <v/>
      </c>
      <c r="AK26" s="20">
        <f>AK20*0.5</f>
        <v/>
      </c>
      <c r="AL26" s="20">
        <f>AL20*0.5</f>
        <v/>
      </c>
      <c r="AM26" s="20">
        <f>AM20*0.5</f>
        <v/>
      </c>
      <c r="AP26" s="37" t="inlineStr">
        <is>
          <t>电网因子(kgCO2/kWh)</t>
        </is>
      </c>
      <c r="AQ26" s="30" t="inlineStr">
        <is>
          <t>0.5306</t>
        </is>
      </c>
    </row>
    <row r="27" ht="17" customHeight="1">
      <c r="A27" s="2" t="inlineStr">
        <is>
          <t>氢冶金矿石消耗量(万吨)</t>
        </is>
      </c>
      <c r="B27" s="7" t="inlineStr">
        <is>
          <t>铁素资源公式</t>
        </is>
      </c>
      <c r="C27" s="20">
        <f>(C20-C26/1.1)*1.053*1.65</f>
        <v/>
      </c>
      <c r="D27" s="20">
        <f>(D20-D26/1.1)*1.053*1.65</f>
        <v/>
      </c>
      <c r="E27" s="20">
        <f>(E20-E26/1.1)*1.053*1.65</f>
        <v/>
      </c>
      <c r="F27" s="20">
        <f>(F20-F26/1.1)*1.053*1.65</f>
        <v/>
      </c>
      <c r="G27" s="20">
        <f>(G20-G26/1.1)*1.053*1.65</f>
        <v/>
      </c>
      <c r="H27" s="20">
        <f>(H20-H26/1.1)*1.053*1.65</f>
        <v/>
      </c>
      <c r="I27" s="20">
        <f>(I20-I26/1.1)*1.053*1.65</f>
        <v/>
      </c>
      <c r="J27" s="20">
        <f>(J20-J26/1.1)*1.053*1.65</f>
        <v/>
      </c>
      <c r="K27" s="20">
        <f>(K20-K26/1.1)*1.053*1.65</f>
        <v/>
      </c>
      <c r="L27" s="20">
        <f>(L20-L26/1.1)*1.053*1.65</f>
        <v/>
      </c>
      <c r="M27" s="20">
        <f>(M20-M26/1.1)*1.053*1.65</f>
        <v/>
      </c>
      <c r="N27" s="20">
        <f>(N20-N26/1.1)*1.053*1.65</f>
        <v/>
      </c>
      <c r="O27" s="20">
        <f>(O20-O26/1.1)*1.053*1.65</f>
        <v/>
      </c>
      <c r="P27" s="20">
        <f>(P20-P26/1.1)*1.053*1.65</f>
        <v/>
      </c>
      <c r="Q27" s="20">
        <f>(Q20-Q26/1.1)*1.053*1.65</f>
        <v/>
      </c>
      <c r="R27" s="20">
        <f>(R20-R26/1.1)*1.053*1.65</f>
        <v/>
      </c>
      <c r="S27" s="20">
        <f>(S20-S26/1.1)*1.053*1.65</f>
        <v/>
      </c>
      <c r="T27" s="20">
        <f>(T20-T26/1.1)*1.053*1.65</f>
        <v/>
      </c>
      <c r="U27" s="20">
        <f>(U20-U26/1.1)*1.053*1.65</f>
        <v/>
      </c>
      <c r="V27" s="20">
        <f>(V20-V26/1.1)*1.053*1.65</f>
        <v/>
      </c>
      <c r="W27" s="20">
        <f>(W20-W26/1.1)*1.053*1.65</f>
        <v/>
      </c>
      <c r="X27" s="20">
        <f>(X20-X26/1.1)*1.053*1.65</f>
        <v/>
      </c>
      <c r="Y27" s="20">
        <f>(Y20-Y26/1.1)*1.053*1.65</f>
        <v/>
      </c>
      <c r="Z27" s="20">
        <f>(Z20-Z26/1.1)*1.053*1.65</f>
        <v/>
      </c>
      <c r="AA27" s="20">
        <f>(AA20-AA26/1.1)*1.053*1.65</f>
        <v/>
      </c>
      <c r="AB27" s="20">
        <f>(AB20-AB26/1.1)*1.053*1.65</f>
        <v/>
      </c>
      <c r="AC27" s="20">
        <f>(AC20-AC26/1.1)*1.053*1.65</f>
        <v/>
      </c>
      <c r="AD27" s="20">
        <f>(AD20-AD26/1.1)*1.053*1.65</f>
        <v/>
      </c>
      <c r="AE27" s="20">
        <f>(AE20-AE26/1.1)*1.053*1.65</f>
        <v/>
      </c>
      <c r="AF27" s="20">
        <f>(AF20-AF26/1.1)*1.053*1.65</f>
        <v/>
      </c>
      <c r="AG27" s="20">
        <f>(AG20-AG26/1.1)*1.053*1.65</f>
        <v/>
      </c>
      <c r="AH27" s="20">
        <f>(AH20-AH26/1.1)*1.053*1.65</f>
        <v/>
      </c>
      <c r="AI27" s="20">
        <f>(AI20-AI26/1.1)*1.053*1.65</f>
        <v/>
      </c>
      <c r="AJ27" s="20">
        <f>(AJ20-AJ26/1.1)*1.053*1.65</f>
        <v/>
      </c>
      <c r="AK27" s="20">
        <f>(AK20-AK26/1.1)*1.053*1.65</f>
        <v/>
      </c>
      <c r="AL27" s="20">
        <f>(AL20-AL26/1.1)*1.053*1.65</f>
        <v/>
      </c>
      <c r="AM27" s="20">
        <f>(AM20-AM26/1.1)*1.053*1.65</f>
        <v/>
      </c>
    </row>
    <row r="28" ht="17" customHeight="1">
      <c r="A28" s="4" t="inlineStr">
        <is>
          <t>废钢消耗总量(万吨)</t>
        </is>
      </c>
      <c r="B28" s="7" t="inlineStr">
        <is>
          <t>铁素资源公式</t>
        </is>
      </c>
      <c r="C28" s="22">
        <f>C23+C25+C26</f>
        <v/>
      </c>
      <c r="D28" s="22">
        <f>D23+D25+D26</f>
        <v/>
      </c>
      <c r="E28" s="22">
        <f>E23+E25+E26</f>
        <v/>
      </c>
      <c r="F28" s="22">
        <f>F23+F25+F26</f>
        <v/>
      </c>
      <c r="G28" s="22">
        <f>G23+G25+G26</f>
        <v/>
      </c>
      <c r="H28" s="22">
        <f>H23+H25+H26</f>
        <v/>
      </c>
      <c r="I28" s="22">
        <f>I23+I25+I26</f>
        <v/>
      </c>
      <c r="J28" s="22">
        <f>J23+J25+J26</f>
        <v/>
      </c>
      <c r="K28" s="22">
        <f>K23+K25+K26</f>
        <v/>
      </c>
      <c r="L28" s="22">
        <f>L23+L25+L26</f>
        <v/>
      </c>
      <c r="M28" s="22">
        <f>M23+M25+M26</f>
        <v/>
      </c>
      <c r="N28" s="22">
        <f>N23+N25+N26</f>
        <v/>
      </c>
      <c r="O28" s="22">
        <f>O23+O25+O26</f>
        <v/>
      </c>
      <c r="P28" s="22">
        <f>P23+P25+P26</f>
        <v/>
      </c>
      <c r="Q28" s="22">
        <f>Q23+Q25+Q26</f>
        <v/>
      </c>
      <c r="R28" s="22">
        <f>R23+R25+R26</f>
        <v/>
      </c>
      <c r="S28" s="22">
        <f>S23+S25+S26</f>
        <v/>
      </c>
      <c r="T28" s="22">
        <f>T23+T25+T26</f>
        <v/>
      </c>
      <c r="U28" s="22">
        <f>U23+U25+U26</f>
        <v/>
      </c>
      <c r="V28" s="22">
        <f>V23+V25+V26</f>
        <v/>
      </c>
      <c r="W28" s="22">
        <f>W23+W25+W26</f>
        <v/>
      </c>
      <c r="X28" s="22">
        <f>X23+X25+X26</f>
        <v/>
      </c>
      <c r="Y28" s="22">
        <f>Y23+Y25+Y26</f>
        <v/>
      </c>
      <c r="Z28" s="22">
        <f>Z23+Z25+Z26</f>
        <v/>
      </c>
      <c r="AA28" s="22">
        <f>AA23+AA25+AA26</f>
        <v/>
      </c>
      <c r="AB28" s="22">
        <f>AB23+AB25+AB26</f>
        <v/>
      </c>
      <c r="AC28" s="22">
        <f>AC23+AC25+AC26</f>
        <v/>
      </c>
      <c r="AD28" s="22">
        <f>AD23+AD25+AD26</f>
        <v/>
      </c>
      <c r="AE28" s="22">
        <f>AE23+AE25+AE26</f>
        <v/>
      </c>
      <c r="AF28" s="22">
        <f>AF23+AF25+AF26</f>
        <v/>
      </c>
      <c r="AG28" s="22">
        <f>AG23+AG25+AG26</f>
        <v/>
      </c>
      <c r="AH28" s="22">
        <f>AH23+AH25+AH26</f>
        <v/>
      </c>
      <c r="AI28" s="22">
        <f>AI23+AI25+AI26</f>
        <v/>
      </c>
      <c r="AJ28" s="22">
        <f>AJ23+AJ25+AJ26</f>
        <v/>
      </c>
      <c r="AK28" s="22">
        <f>AK23+AK25+AK26</f>
        <v/>
      </c>
      <c r="AL28" s="22">
        <f>AL23+AL25+AL26</f>
        <v/>
      </c>
      <c r="AM28" s="22">
        <f>AM23+AM25+AM26</f>
        <v/>
      </c>
      <c r="AP28" s="37" t="inlineStr">
        <is>
          <t>BF-BOF耗电(kWh/t)</t>
        </is>
      </c>
      <c r="AQ28" s="30" t="inlineStr">
        <is>
          <t>450</t>
        </is>
      </c>
    </row>
    <row r="29" ht="17" customHeight="1">
      <c r="A29" s="4" t="inlineStr">
        <is>
          <t>矿石消耗总量(万吨)</t>
        </is>
      </c>
      <c r="B29" s="7" t="inlineStr">
        <is>
          <t>铁素资源公式</t>
        </is>
      </c>
      <c r="C29" s="22">
        <f>C24+C27</f>
        <v/>
      </c>
      <c r="D29" s="22">
        <f>D24+D27</f>
        <v/>
      </c>
      <c r="E29" s="22">
        <f>E24+E27</f>
        <v/>
      </c>
      <c r="F29" s="22">
        <f>F24+F27</f>
        <v/>
      </c>
      <c r="G29" s="22">
        <f>G24+G27</f>
        <v/>
      </c>
      <c r="H29" s="22">
        <f>H24+H27</f>
        <v/>
      </c>
      <c r="I29" s="22">
        <f>I24+I27</f>
        <v/>
      </c>
      <c r="J29" s="22">
        <f>J24+J27</f>
        <v/>
      </c>
      <c r="K29" s="22">
        <f>K24+K27</f>
        <v/>
      </c>
      <c r="L29" s="22">
        <f>L24+L27</f>
        <v/>
      </c>
      <c r="M29" s="22">
        <f>M24+M27</f>
        <v/>
      </c>
      <c r="N29" s="22">
        <f>N24+N27</f>
        <v/>
      </c>
      <c r="O29" s="22">
        <f>O24+O27</f>
        <v/>
      </c>
      <c r="P29" s="22">
        <f>P24+P27</f>
        <v/>
      </c>
      <c r="Q29" s="22">
        <f>Q24+Q27</f>
        <v/>
      </c>
      <c r="R29" s="22">
        <f>R24+R27</f>
        <v/>
      </c>
      <c r="S29" s="22">
        <f>S24+S27</f>
        <v/>
      </c>
      <c r="T29" s="22">
        <f>T24+T27</f>
        <v/>
      </c>
      <c r="U29" s="22">
        <f>U24+U27</f>
        <v/>
      </c>
      <c r="V29" s="22">
        <f>V24+V27</f>
        <v/>
      </c>
      <c r="W29" s="22">
        <f>W24+W27</f>
        <v/>
      </c>
      <c r="X29" s="22">
        <f>X24+X27</f>
        <v/>
      </c>
      <c r="Y29" s="22">
        <f>Y24+Y27</f>
        <v/>
      </c>
      <c r="Z29" s="22">
        <f>Z24+Z27</f>
        <v/>
      </c>
      <c r="AA29" s="22">
        <f>AA24+AA27</f>
        <v/>
      </c>
      <c r="AB29" s="22">
        <f>AB24+AB27</f>
        <v/>
      </c>
      <c r="AC29" s="22">
        <f>AC24+AC27</f>
        <v/>
      </c>
      <c r="AD29" s="22">
        <f>AD24+AD27</f>
        <v/>
      </c>
      <c r="AE29" s="22">
        <f>AE24+AE27</f>
        <v/>
      </c>
      <c r="AF29" s="22">
        <f>AF24+AF27</f>
        <v/>
      </c>
      <c r="AG29" s="22">
        <f>AG24+AG27</f>
        <v/>
      </c>
      <c r="AH29" s="22">
        <f>AH24+AH27</f>
        <v/>
      </c>
      <c r="AI29" s="22">
        <f>AI24+AI27</f>
        <v/>
      </c>
      <c r="AJ29" s="22">
        <f>AJ24+AJ27</f>
        <v/>
      </c>
      <c r="AK29" s="22">
        <f>AK24+AK27</f>
        <v/>
      </c>
      <c r="AL29" s="22">
        <f>AL24+AL27</f>
        <v/>
      </c>
      <c r="AM29" s="22">
        <f>AM24+AM27</f>
        <v/>
      </c>
      <c r="AP29" s="37" t="inlineStr">
        <is>
          <t>Scrap-EAF耗电(kWh/t)</t>
        </is>
      </c>
      <c r="AQ29" s="30" t="inlineStr">
        <is>
          <t>550</t>
        </is>
      </c>
    </row>
    <row r="30" ht="17.5" customHeight="1">
      <c r="A30" s="34" t="inlineStr">
        <is>
          <t>Step 6: 电力结构</t>
        </is>
      </c>
      <c r="B30" s="35" t="n"/>
      <c r="C30" s="35" t="n"/>
      <c r="D30" s="35" t="n"/>
      <c r="E30" s="35" t="n"/>
      <c r="F30" s="35" t="n"/>
      <c r="G30" s="35" t="n"/>
      <c r="H30" s="35" t="n"/>
      <c r="I30" s="35" t="n"/>
      <c r="J30" s="35" t="n"/>
      <c r="K30" s="35" t="n"/>
      <c r="L30" s="35" t="n"/>
      <c r="M30" s="35" t="n"/>
      <c r="N30" s="35" t="n"/>
      <c r="O30" s="35" t="n"/>
      <c r="P30" s="35" t="n"/>
      <c r="Q30" s="35" t="n"/>
      <c r="R30" s="35" t="n"/>
      <c r="S30" s="35" t="n"/>
      <c r="T30" s="35" t="n"/>
      <c r="U30" s="35" t="n"/>
      <c r="V30" s="35" t="n"/>
      <c r="W30" s="35" t="n"/>
      <c r="X30" s="35" t="n"/>
      <c r="Y30" s="35" t="n"/>
      <c r="Z30" s="35" t="n"/>
      <c r="AA30" s="35" t="n"/>
      <c r="AB30" s="35" t="n"/>
      <c r="AC30" s="35" t="n"/>
      <c r="AD30" s="35" t="n"/>
      <c r="AE30" s="35" t="n"/>
      <c r="AF30" s="35" t="n"/>
      <c r="AG30" s="35" t="n"/>
      <c r="AH30" s="35" t="n"/>
      <c r="AI30" s="35" t="n"/>
      <c r="AJ30" s="35" t="n"/>
      <c r="AK30" s="35" t="n"/>
      <c r="AL30" s="35" t="n"/>
      <c r="AM30" s="36" t="n"/>
      <c r="AP30" s="37" t="inlineStr">
        <is>
          <t>DRI-EAF耗电(kWh/t)</t>
        </is>
      </c>
      <c r="AQ30" s="30" t="inlineStr">
        <is>
          <t>500</t>
        </is>
      </c>
    </row>
    <row r="31" ht="17" customHeight="1">
      <c r="A31" s="2" t="inlineStr">
        <is>
          <t>总耗电量(万kWh)</t>
        </is>
      </c>
      <c r="B31" s="7" t="inlineStr">
        <is>
          <t>电力结构公式</t>
        </is>
      </c>
      <c r="C31" s="20">
        <f>C18*450+C19*550+C20*500</f>
        <v/>
      </c>
      <c r="D31" s="20">
        <f>D18*450+D19*550+D20*500</f>
        <v/>
      </c>
      <c r="E31" s="20">
        <f>E18*450+E19*550+E20*500</f>
        <v/>
      </c>
      <c r="F31" s="20">
        <f>F18*450+F19*550+F20*500</f>
        <v/>
      </c>
      <c r="G31" s="20">
        <f>G18*450+G19*550+G20*500</f>
        <v/>
      </c>
      <c r="H31" s="20">
        <f>H18*450+H19*550+H20*500</f>
        <v/>
      </c>
      <c r="I31" s="20">
        <f>I18*450+I19*550+I20*500</f>
        <v/>
      </c>
      <c r="J31" s="20">
        <f>J18*450+J19*550+J20*500</f>
        <v/>
      </c>
      <c r="K31" s="20">
        <f>K18*450+K19*550+K20*500</f>
        <v/>
      </c>
      <c r="L31" s="20">
        <f>L18*450+L19*550+L20*500</f>
        <v/>
      </c>
      <c r="M31" s="20">
        <f>M18*450+M19*550+M20*500</f>
        <v/>
      </c>
      <c r="N31" s="20">
        <f>N18*450+N19*550+N20*500</f>
        <v/>
      </c>
      <c r="O31" s="20">
        <f>O18*450+O19*550+O20*500</f>
        <v/>
      </c>
      <c r="P31" s="20">
        <f>P18*450+P19*550+P20*500</f>
        <v/>
      </c>
      <c r="Q31" s="20">
        <f>Q18*450+Q19*550+Q20*500</f>
        <v/>
      </c>
      <c r="R31" s="20">
        <f>R18*450+R19*550+R20*500</f>
        <v/>
      </c>
      <c r="S31" s="20">
        <f>S18*450+S19*550+S20*500</f>
        <v/>
      </c>
      <c r="T31" s="20">
        <f>T18*450+T19*550+T20*500</f>
        <v/>
      </c>
      <c r="U31" s="20">
        <f>U18*450+U19*550+U20*500</f>
        <v/>
      </c>
      <c r="V31" s="20">
        <f>V18*450+V19*550+V20*500</f>
        <v/>
      </c>
      <c r="W31" s="20">
        <f>W18*450+W19*550+W20*500</f>
        <v/>
      </c>
      <c r="X31" s="20">
        <f>X18*450+X19*550+X20*500</f>
        <v/>
      </c>
      <c r="Y31" s="20">
        <f>Y18*450+Y19*550+Y20*500</f>
        <v/>
      </c>
      <c r="Z31" s="20">
        <f>Z18*450+Z19*550+Z20*500</f>
        <v/>
      </c>
      <c r="AA31" s="20">
        <f>AA18*450+AA19*550+AA20*500</f>
        <v/>
      </c>
      <c r="AB31" s="20">
        <f>AB18*450+AB19*550+AB20*500</f>
        <v/>
      </c>
      <c r="AC31" s="20">
        <f>AC18*450+AC19*550+AC20*500</f>
        <v/>
      </c>
      <c r="AD31" s="20">
        <f>AD18*450+AD19*550+AD20*500</f>
        <v/>
      </c>
      <c r="AE31" s="20">
        <f>AE18*450+AE19*550+AE20*500</f>
        <v/>
      </c>
      <c r="AF31" s="20">
        <f>AF18*450+AF19*550+AF20*500</f>
        <v/>
      </c>
      <c r="AG31" s="20">
        <f>AG18*450+AG19*550+AG20*500</f>
        <v/>
      </c>
      <c r="AH31" s="20">
        <f>AH18*450+AH19*550+AH20*500</f>
        <v/>
      </c>
      <c r="AI31" s="20">
        <f>AI18*450+AI19*550+AI20*500</f>
        <v/>
      </c>
      <c r="AJ31" s="20">
        <f>AJ18*450+AJ19*550+AJ20*500</f>
        <v/>
      </c>
      <c r="AK31" s="20">
        <f>AK18*450+AK19*550+AK20*500</f>
        <v/>
      </c>
      <c r="AL31" s="20">
        <f>AL18*450+AL19*550+AL20*500</f>
        <v/>
      </c>
      <c r="AM31" s="20">
        <f>AM18*450+AM19*550+AM20*500</f>
        <v/>
      </c>
    </row>
    <row r="32" ht="17" customHeight="1">
      <c r="A32" s="2" t="inlineStr">
        <is>
          <t>绿电占比</t>
        </is>
      </c>
      <c r="B32" s="7" t="inlineStr">
        <is>
          <t>电力结构公式</t>
        </is>
      </c>
      <c r="C32" s="44" t="n">
        <v>0</v>
      </c>
      <c r="D32" s="44" t="n">
        <v>0.025</v>
      </c>
      <c r="E32" s="44" t="n">
        <v>0.05</v>
      </c>
      <c r="F32" s="44" t="n">
        <v>0.075</v>
      </c>
      <c r="G32" s="44" t="n">
        <v>0.09999999999999999</v>
      </c>
      <c r="H32" s="44" t="n">
        <v>0.125</v>
      </c>
      <c r="I32" s="44" t="n">
        <v>0.15</v>
      </c>
      <c r="J32" s="44" t="n">
        <v>0.176</v>
      </c>
      <c r="K32" s="44" t="n">
        <v>0.202</v>
      </c>
      <c r="L32" s="44" t="n">
        <v>0.228</v>
      </c>
      <c r="M32" s="44" t="n">
        <v>0.254</v>
      </c>
      <c r="N32" s="44" t="n">
        <v>0.28</v>
      </c>
      <c r="O32" s="44" t="n">
        <v>0.314</v>
      </c>
      <c r="P32" s="44" t="n">
        <v>0.348</v>
      </c>
      <c r="Q32" s="44" t="n">
        <v>0.382</v>
      </c>
      <c r="R32" s="44" t="n">
        <v>0.416</v>
      </c>
      <c r="S32" s="44" t="n">
        <v>0.45</v>
      </c>
      <c r="T32" s="44" t="n">
        <v>0.468</v>
      </c>
      <c r="U32" s="44" t="n">
        <v>0.486</v>
      </c>
      <c r="V32" s="44" t="n">
        <v>0.504</v>
      </c>
      <c r="W32" s="44" t="n">
        <v>0.522</v>
      </c>
      <c r="X32" s="44" t="n">
        <v>0.54</v>
      </c>
      <c r="Y32" s="44" t="n">
        <v>0.5580000000000001</v>
      </c>
      <c r="Z32" s="44" t="n">
        <v>0.5760000000000001</v>
      </c>
      <c r="AA32" s="44" t="n">
        <v>0.594</v>
      </c>
      <c r="AB32" s="44" t="n">
        <v>0.612</v>
      </c>
      <c r="AC32" s="44" t="n">
        <v>0.63</v>
      </c>
      <c r="AD32" s="44" t="n">
        <v>0.649</v>
      </c>
      <c r="AE32" s="44" t="n">
        <v>0.668</v>
      </c>
      <c r="AF32" s="44" t="n">
        <v>0.6869999999999999</v>
      </c>
      <c r="AG32" s="44" t="n">
        <v>0.706</v>
      </c>
      <c r="AH32" s="44" t="n">
        <v>0.725</v>
      </c>
      <c r="AI32" s="44" t="n">
        <v>0.744</v>
      </c>
      <c r="AJ32" s="44" t="n">
        <v>0.7629999999999999</v>
      </c>
      <c r="AK32" s="44" t="n">
        <v>0.782</v>
      </c>
      <c r="AL32" s="44" t="n">
        <v>0.8009999999999999</v>
      </c>
      <c r="AM32" s="44" t="n">
        <v>0.82</v>
      </c>
    </row>
    <row r="33" ht="17" customHeight="1">
      <c r="A33" s="2" t="inlineStr">
        <is>
          <t>总绿电量(万kWh)</t>
        </is>
      </c>
      <c r="B33" s="7" t="inlineStr">
        <is>
          <t>电力结构公式</t>
        </is>
      </c>
      <c r="C33" s="20">
        <f>C31*C32</f>
        <v/>
      </c>
      <c r="D33" s="20">
        <f>D31*D32</f>
        <v/>
      </c>
      <c r="E33" s="20">
        <f>E31*E32</f>
        <v/>
      </c>
      <c r="F33" s="20">
        <f>F31*F32</f>
        <v/>
      </c>
      <c r="G33" s="20">
        <f>G31*G32</f>
        <v/>
      </c>
      <c r="H33" s="20">
        <f>H31*H32</f>
        <v/>
      </c>
      <c r="I33" s="20">
        <f>I31*I32</f>
        <v/>
      </c>
      <c r="J33" s="20">
        <f>J31*J32</f>
        <v/>
      </c>
      <c r="K33" s="20">
        <f>K31*K32</f>
        <v/>
      </c>
      <c r="L33" s="20">
        <f>L31*L32</f>
        <v/>
      </c>
      <c r="M33" s="20">
        <f>M31*M32</f>
        <v/>
      </c>
      <c r="N33" s="20">
        <f>N31*N32</f>
        <v/>
      </c>
      <c r="O33" s="20">
        <f>O31*O32</f>
        <v/>
      </c>
      <c r="P33" s="20">
        <f>P31*P32</f>
        <v/>
      </c>
      <c r="Q33" s="20">
        <f>Q31*Q32</f>
        <v/>
      </c>
      <c r="R33" s="20">
        <f>R31*R32</f>
        <v/>
      </c>
      <c r="S33" s="20">
        <f>S31*S32</f>
        <v/>
      </c>
      <c r="T33" s="20">
        <f>T31*T32</f>
        <v/>
      </c>
      <c r="U33" s="20">
        <f>U31*U32</f>
        <v/>
      </c>
      <c r="V33" s="20">
        <f>V31*V32</f>
        <v/>
      </c>
      <c r="W33" s="20">
        <f>W31*W32</f>
        <v/>
      </c>
      <c r="X33" s="20">
        <f>X31*X32</f>
        <v/>
      </c>
      <c r="Y33" s="20">
        <f>Y31*Y32</f>
        <v/>
      </c>
      <c r="Z33" s="20">
        <f>Z31*Z32</f>
        <v/>
      </c>
      <c r="AA33" s="20">
        <f>AA31*AA32</f>
        <v/>
      </c>
      <c r="AB33" s="20">
        <f>AB31*AB32</f>
        <v/>
      </c>
      <c r="AC33" s="20">
        <f>AC31*AC32</f>
        <v/>
      </c>
      <c r="AD33" s="20">
        <f>AD31*AD32</f>
        <v/>
      </c>
      <c r="AE33" s="20">
        <f>AE31*AE32</f>
        <v/>
      </c>
      <c r="AF33" s="20">
        <f>AF31*AF32</f>
        <v/>
      </c>
      <c r="AG33" s="20">
        <f>AG31*AG32</f>
        <v/>
      </c>
      <c r="AH33" s="20">
        <f>AH31*AH32</f>
        <v/>
      </c>
      <c r="AI33" s="20">
        <f>AI31*AI32</f>
        <v/>
      </c>
      <c r="AJ33" s="20">
        <f>AJ31*AJ32</f>
        <v/>
      </c>
      <c r="AK33" s="20">
        <f>AK31*AK32</f>
        <v/>
      </c>
      <c r="AL33" s="20">
        <f>AL31*AL32</f>
        <v/>
      </c>
      <c r="AM33" s="20">
        <f>AM31*AM32</f>
        <v/>
      </c>
    </row>
    <row r="34" ht="17.5" customHeight="1">
      <c r="A34" s="34" t="inlineStr">
        <is>
          <t>Step 7: 低碳技术</t>
        </is>
      </c>
      <c r="B34" s="35" t="n"/>
      <c r="C34" s="35" t="n"/>
      <c r="D34" s="35" t="n"/>
      <c r="E34" s="35" t="n"/>
      <c r="F34" s="35" t="n"/>
      <c r="G34" s="35" t="n"/>
      <c r="H34" s="35" t="n"/>
      <c r="I34" s="35" t="n"/>
      <c r="J34" s="35" t="n"/>
      <c r="K34" s="35" t="n"/>
      <c r="L34" s="35" t="n"/>
      <c r="M34" s="35" t="n"/>
      <c r="N34" s="35" t="n"/>
      <c r="O34" s="35" t="n"/>
      <c r="P34" s="35" t="n"/>
      <c r="Q34" s="35" t="n"/>
      <c r="R34" s="35" t="n"/>
      <c r="S34" s="35" t="n"/>
      <c r="T34" s="35" t="n"/>
      <c r="U34" s="35" t="n"/>
      <c r="V34" s="35" t="n"/>
      <c r="W34" s="35" t="n"/>
      <c r="X34" s="35" t="n"/>
      <c r="Y34" s="35" t="n"/>
      <c r="Z34" s="35" t="n"/>
      <c r="AA34" s="35" t="n"/>
      <c r="AB34" s="35" t="n"/>
      <c r="AC34" s="35" t="n"/>
      <c r="AD34" s="35" t="n"/>
      <c r="AE34" s="35" t="n"/>
      <c r="AF34" s="35" t="n"/>
      <c r="AG34" s="35" t="n"/>
      <c r="AH34" s="35" t="n"/>
      <c r="AI34" s="35" t="n"/>
      <c r="AJ34" s="35" t="n"/>
      <c r="AK34" s="35" t="n"/>
      <c r="AL34" s="35" t="n"/>
      <c r="AM34" s="36" t="n"/>
    </row>
    <row r="35" ht="46" customHeight="1">
      <c r="A35" s="40" t="inlineStr">
        <is>
          <t>低碳技术名称</t>
        </is>
      </c>
      <c r="B35" s="7" t="inlineStr">
        <is>
          <t>逐年技术部署</t>
        </is>
      </c>
      <c r="C35" s="24" t="inlineStr">
        <is>
          <t>干熄焦技术(已部署,含于基准)</t>
        </is>
      </c>
      <c r="D35" s="24" t="inlineStr">
        <is>
          <t>厚料层烧结技术</t>
        </is>
      </c>
      <c r="E35" s="24" t="inlineStr">
        <is>
          <t>球团废热循环利用技术</t>
        </is>
      </c>
      <c r="F35" s="24" t="inlineStr">
        <is>
          <t>-</t>
        </is>
      </c>
      <c r="G35" s="24" t="inlineStr">
        <is>
          <t>高炉炉顶煤气干式余压发电技术(TRT)</t>
        </is>
      </c>
      <c r="H35" s="24" t="inlineStr">
        <is>
          <t>高炉冲渣水直接换热回收余热技术</t>
        </is>
      </c>
      <c r="I35" s="24" t="inlineStr">
        <is>
          <t>-</t>
        </is>
      </c>
      <c r="J35" s="24" t="inlineStr">
        <is>
          <t>转炉气体及显热回收技术</t>
        </is>
      </c>
      <c r="K35" s="24" t="inlineStr">
        <is>
          <t>转炉'负能炼钢'工艺技术</t>
        </is>
      </c>
      <c r="L35" s="24" t="inlineStr">
        <is>
          <t>钢包加盖技术</t>
        </is>
      </c>
      <c r="M35" s="24" t="inlineStr">
        <is>
          <t>钢包周转优化技术</t>
        </is>
      </c>
      <c r="N35" s="24" t="inlineStr">
        <is>
          <t>废钢预热技术</t>
        </is>
      </c>
      <c r="O35" s="24" t="inlineStr">
        <is>
          <t>电源及电控系统智能化控制技术</t>
        </is>
      </c>
      <c r="P35" s="24" t="inlineStr">
        <is>
          <t>电炉连续加料技术</t>
        </is>
      </c>
      <c r="Q35" s="24" t="inlineStr">
        <is>
          <t>-</t>
        </is>
      </c>
      <c r="R35" s="24" t="inlineStr">
        <is>
          <t>-</t>
        </is>
      </c>
      <c r="S35" s="24" t="inlineStr">
        <is>
          <t>-</t>
        </is>
      </c>
      <c r="T35" s="24" t="inlineStr">
        <is>
          <t>-</t>
        </is>
      </c>
      <c r="U35" s="24" t="inlineStr">
        <is>
          <t>-</t>
        </is>
      </c>
      <c r="V35" s="24" t="inlineStr">
        <is>
          <t>连铸坯热送热装技术</t>
        </is>
      </c>
      <c r="W35" s="24" t="inlineStr">
        <is>
          <t>-</t>
        </is>
      </c>
      <c r="X35" s="24" t="inlineStr">
        <is>
          <t>-</t>
        </is>
      </c>
      <c r="Y35" s="24" t="inlineStr">
        <is>
          <t>-</t>
        </is>
      </c>
      <c r="Z35" s="24" t="inlineStr">
        <is>
          <t>薄板坯连铸技术</t>
        </is>
      </c>
      <c r="AA35" s="24" t="inlineStr">
        <is>
          <t>-</t>
        </is>
      </c>
      <c r="AB35" s="24" t="inlineStr">
        <is>
          <t>-</t>
        </is>
      </c>
      <c r="AC35" s="24" t="inlineStr">
        <is>
          <t>-</t>
        </is>
      </c>
      <c r="AD35" s="24" t="inlineStr">
        <is>
          <t>-</t>
        </is>
      </c>
      <c r="AE35" s="24" t="inlineStr">
        <is>
          <t>-</t>
        </is>
      </c>
      <c r="AF35" s="24" t="inlineStr">
        <is>
          <t>-</t>
        </is>
      </c>
      <c r="AG35" s="24" t="inlineStr">
        <is>
          <t>-</t>
        </is>
      </c>
      <c r="AH35" s="24" t="inlineStr">
        <is>
          <t>-</t>
        </is>
      </c>
      <c r="AI35" s="24" t="inlineStr">
        <is>
          <t>-</t>
        </is>
      </c>
      <c r="AJ35" s="24" t="inlineStr">
        <is>
          <t>-</t>
        </is>
      </c>
      <c r="AK35" s="24" t="inlineStr">
        <is>
          <t>-</t>
        </is>
      </c>
      <c r="AL35" s="24" t="inlineStr">
        <is>
          <t>-</t>
        </is>
      </c>
      <c r="AM35" s="24" t="inlineStr">
        <is>
          <t>-</t>
        </is>
      </c>
    </row>
    <row r="36" ht="17" customHeight="1">
      <c r="A36" s="2" t="inlineStr">
        <is>
          <t>当年降碳潜力(tCO2/t)</t>
        </is>
      </c>
      <c r="B36" s="7" t="inlineStr">
        <is>
          <t>逐年假设(可调)</t>
        </is>
      </c>
      <c r="C36" s="45" t="n">
        <v>0</v>
      </c>
      <c r="D36" s="45" t="n">
        <v>0.0006666666666666666</v>
      </c>
      <c r="E36" s="45" t="n">
        <v>0.001333333333333333</v>
      </c>
      <c r="F36" s="45" t="n">
        <v>0.002</v>
      </c>
      <c r="G36" s="45" t="n">
        <v>0.002666666666666667</v>
      </c>
      <c r="H36" s="45" t="n">
        <v>0.003333333333333334</v>
      </c>
      <c r="I36" s="45" t="n">
        <v>0.004</v>
      </c>
      <c r="J36" s="45" t="n">
        <v>0.006200000000000001</v>
      </c>
      <c r="K36" s="45" t="n">
        <v>0.008400000000000001</v>
      </c>
      <c r="L36" s="45" t="n">
        <v>0.0106</v>
      </c>
      <c r="M36" s="45" t="n">
        <v>0.0128</v>
      </c>
      <c r="N36" s="45" t="n">
        <v>0.015</v>
      </c>
      <c r="O36" s="45" t="n">
        <v>0.017</v>
      </c>
      <c r="P36" s="45" t="n">
        <v>0.019</v>
      </c>
      <c r="Q36" s="45" t="n">
        <v>0.021</v>
      </c>
      <c r="R36" s="45" t="n">
        <v>0.023</v>
      </c>
      <c r="S36" s="45" t="n">
        <v>0.025</v>
      </c>
      <c r="T36" s="45" t="n">
        <v>0.0255</v>
      </c>
      <c r="U36" s="45" t="n">
        <v>0.026</v>
      </c>
      <c r="V36" s="45" t="n">
        <v>0.0265</v>
      </c>
      <c r="W36" s="45" t="n">
        <v>0.027</v>
      </c>
      <c r="X36" s="45" t="n">
        <v>0.0275</v>
      </c>
      <c r="Y36" s="45" t="n">
        <v>0.028</v>
      </c>
      <c r="Z36" s="45" t="n">
        <v>0.0285</v>
      </c>
      <c r="AA36" s="45" t="n">
        <v>0.029</v>
      </c>
      <c r="AB36" s="45" t="n">
        <v>0.0295</v>
      </c>
      <c r="AC36" s="45" t="n">
        <v>0.03</v>
      </c>
      <c r="AD36" s="45" t="n">
        <v>0.0288</v>
      </c>
      <c r="AE36" s="45" t="n">
        <v>0.0276</v>
      </c>
      <c r="AF36" s="45" t="n">
        <v>0.0264</v>
      </c>
      <c r="AG36" s="45" t="n">
        <v>0.0252</v>
      </c>
      <c r="AH36" s="45" t="n">
        <v>0.024</v>
      </c>
      <c r="AI36" s="45" t="n">
        <v>0.0228</v>
      </c>
      <c r="AJ36" s="45" t="n">
        <v>0.0216</v>
      </c>
      <c r="AK36" s="45" t="n">
        <v>0.0204</v>
      </c>
      <c r="AL36" s="45" t="n">
        <v>0.0192</v>
      </c>
      <c r="AM36" s="45" t="n">
        <v>0.018</v>
      </c>
    </row>
    <row r="37" ht="17" customHeight="1">
      <c r="A37" s="4" t="inlineStr">
        <is>
          <t>累计降碳潜力(tCO2/t)</t>
        </is>
      </c>
      <c r="B37" s="7">
        <f>上年累计+当年新增</f>
        <v/>
      </c>
      <c r="C37" s="46">
        <f>C36</f>
        <v/>
      </c>
      <c r="D37" s="46">
        <f>C37+D36</f>
        <v/>
      </c>
      <c r="E37" s="46">
        <f>D37+E36</f>
        <v/>
      </c>
      <c r="F37" s="46">
        <f>E37+F36</f>
        <v/>
      </c>
      <c r="G37" s="46">
        <f>F37+G36</f>
        <v/>
      </c>
      <c r="H37" s="46">
        <f>G37+H36</f>
        <v/>
      </c>
      <c r="I37" s="46">
        <f>H37+I36</f>
        <v/>
      </c>
      <c r="J37" s="46">
        <f>I37+J36</f>
        <v/>
      </c>
      <c r="K37" s="46">
        <f>J37+K36</f>
        <v/>
      </c>
      <c r="L37" s="46">
        <f>K37+L36</f>
        <v/>
      </c>
      <c r="M37" s="46">
        <f>L37+M36</f>
        <v/>
      </c>
      <c r="N37" s="46">
        <f>M37+N36</f>
        <v/>
      </c>
      <c r="O37" s="46">
        <f>N37+O36</f>
        <v/>
      </c>
      <c r="P37" s="46">
        <f>O37+P36</f>
        <v/>
      </c>
      <c r="Q37" s="46">
        <f>P37+Q36</f>
        <v/>
      </c>
      <c r="R37" s="46">
        <f>Q37+R36</f>
        <v/>
      </c>
      <c r="S37" s="46">
        <f>R37+S36</f>
        <v/>
      </c>
      <c r="T37" s="46">
        <f>S37+T36</f>
        <v/>
      </c>
      <c r="U37" s="46">
        <f>T37+U36</f>
        <v/>
      </c>
      <c r="V37" s="46">
        <f>U37+V36</f>
        <v/>
      </c>
      <c r="W37" s="46">
        <f>V37+W36</f>
        <v/>
      </c>
      <c r="X37" s="46">
        <f>W37+X36</f>
        <v/>
      </c>
      <c r="Y37" s="46">
        <f>X37+Y36</f>
        <v/>
      </c>
      <c r="Z37" s="46">
        <f>Y37+Z36</f>
        <v/>
      </c>
      <c r="AA37" s="46">
        <f>Z37+AA36</f>
        <v/>
      </c>
      <c r="AB37" s="46">
        <f>AA37+AB36</f>
        <v/>
      </c>
      <c r="AC37" s="46">
        <f>AB37+AC36</f>
        <v/>
      </c>
      <c r="AD37" s="46">
        <f>AC37+AD36</f>
        <v/>
      </c>
      <c r="AE37" s="46">
        <f>AD37+AE36</f>
        <v/>
      </c>
      <c r="AF37" s="46">
        <f>AE37+AF36</f>
        <v/>
      </c>
      <c r="AG37" s="46">
        <f>AF37+AG36</f>
        <v/>
      </c>
      <c r="AH37" s="46">
        <f>AG37+AH36</f>
        <v/>
      </c>
      <c r="AI37" s="46">
        <f>AH37+AI36</f>
        <v/>
      </c>
      <c r="AJ37" s="46">
        <f>AI37+AJ36</f>
        <v/>
      </c>
      <c r="AK37" s="46">
        <f>AJ37+AK36</f>
        <v/>
      </c>
      <c r="AL37" s="46">
        <f>AK37+AL36</f>
        <v/>
      </c>
      <c r="AM37" s="46">
        <f>AL37+AM36</f>
        <v/>
      </c>
    </row>
    <row r="38" ht="15" customHeight="1">
      <c r="A38" s="7" t="inlineStr">
        <is>
          <t>原始累计(含基准1.95内)</t>
        </is>
      </c>
      <c r="B38" s="7">
        <f>模型累计+0.066</f>
        <v/>
      </c>
      <c r="C38" s="47">
        <f>C37+0.066</f>
        <v/>
      </c>
      <c r="D38" s="47">
        <f>D37+0.066</f>
        <v/>
      </c>
      <c r="E38" s="47">
        <f>E37+0.066</f>
        <v/>
      </c>
      <c r="F38" s="47">
        <f>F37+0.066</f>
        <v/>
      </c>
      <c r="G38" s="47">
        <f>G37+0.066</f>
        <v/>
      </c>
      <c r="H38" s="47">
        <f>H37+0.066</f>
        <v/>
      </c>
      <c r="I38" s="47">
        <f>I37+0.066</f>
        <v/>
      </c>
      <c r="J38" s="47">
        <f>J37+0.066</f>
        <v/>
      </c>
      <c r="K38" s="47">
        <f>K37+0.066</f>
        <v/>
      </c>
      <c r="L38" s="47">
        <f>L37+0.066</f>
        <v/>
      </c>
      <c r="M38" s="47">
        <f>M37+0.066</f>
        <v/>
      </c>
      <c r="N38" s="47">
        <f>N37+0.066</f>
        <v/>
      </c>
      <c r="O38" s="47">
        <f>O37+0.066</f>
        <v/>
      </c>
      <c r="P38" s="47">
        <f>P37+0.066</f>
        <v/>
      </c>
      <c r="Q38" s="47">
        <f>Q37+0.066</f>
        <v/>
      </c>
      <c r="R38" s="47">
        <f>R37+0.066</f>
        <v/>
      </c>
      <c r="S38" s="47">
        <f>S37+0.066</f>
        <v/>
      </c>
      <c r="T38" s="47">
        <f>T37+0.066</f>
        <v/>
      </c>
      <c r="U38" s="47">
        <f>U37+0.066</f>
        <v/>
      </c>
      <c r="V38" s="47">
        <f>V37+0.066</f>
        <v/>
      </c>
      <c r="W38" s="47">
        <f>W37+0.066</f>
        <v/>
      </c>
      <c r="X38" s="47">
        <f>X37+0.066</f>
        <v/>
      </c>
      <c r="Y38" s="47">
        <f>Y37+0.066</f>
        <v/>
      </c>
      <c r="Z38" s="47">
        <f>Z37+0.066</f>
        <v/>
      </c>
      <c r="AA38" s="47">
        <f>AA37+0.066</f>
        <v/>
      </c>
      <c r="AB38" s="47">
        <f>AB37+0.066</f>
        <v/>
      </c>
      <c r="AC38" s="47">
        <f>AC37+0.066</f>
        <v/>
      </c>
      <c r="AD38" s="47">
        <f>AD37+0.066</f>
        <v/>
      </c>
      <c r="AE38" s="47">
        <f>AE37+0.066</f>
        <v/>
      </c>
      <c r="AF38" s="47">
        <f>AF37+0.066</f>
        <v/>
      </c>
      <c r="AG38" s="47">
        <f>AG37+0.066</f>
        <v/>
      </c>
      <c r="AH38" s="47">
        <f>AH37+0.066</f>
        <v/>
      </c>
      <c r="AI38" s="47">
        <f>AI37+0.066</f>
        <v/>
      </c>
      <c r="AJ38" s="47">
        <f>AJ37+0.066</f>
        <v/>
      </c>
      <c r="AK38" s="47">
        <f>AK37+0.066</f>
        <v/>
      </c>
      <c r="AL38" s="47">
        <f>AL37+0.066</f>
        <v/>
      </c>
      <c r="AM38" s="47">
        <f>AM37+0.066</f>
        <v/>
      </c>
    </row>
    <row r="39" ht="17.5" customHeight="1">
      <c r="A39" s="34" t="inlineStr">
        <is>
          <t>Step 8: 低碳发展测算表(Waterfall)</t>
        </is>
      </c>
      <c r="B39" s="35" t="n"/>
      <c r="C39" s="35" t="n"/>
      <c r="D39" s="35" t="n"/>
      <c r="E39" s="35" t="n"/>
      <c r="F39" s="35" t="n"/>
      <c r="G39" s="35" t="n"/>
      <c r="H39" s="35" t="n"/>
      <c r="I39" s="35" t="n"/>
      <c r="J39" s="35" t="n"/>
      <c r="K39" s="35" t="n"/>
      <c r="L39" s="35" t="n"/>
      <c r="M39" s="35" t="n"/>
      <c r="N39" s="35" t="n"/>
      <c r="O39" s="35" t="n"/>
      <c r="P39" s="35" t="n"/>
      <c r="Q39" s="35" t="n"/>
      <c r="R39" s="35" t="n"/>
      <c r="S39" s="35" t="n"/>
      <c r="T39" s="35" t="n"/>
      <c r="U39" s="35" t="n"/>
      <c r="V39" s="35" t="n"/>
      <c r="W39" s="35" t="n"/>
      <c r="X39" s="35" t="n"/>
      <c r="Y39" s="35" t="n"/>
      <c r="Z39" s="35" t="n"/>
      <c r="AA39" s="35" t="n"/>
      <c r="AB39" s="35" t="n"/>
      <c r="AC39" s="35" t="n"/>
      <c r="AD39" s="35" t="n"/>
      <c r="AE39" s="35" t="n"/>
      <c r="AF39" s="35" t="n"/>
      <c r="AG39" s="35" t="n"/>
      <c r="AH39" s="35" t="n"/>
      <c r="AI39" s="35" t="n"/>
      <c r="AJ39" s="35" t="n"/>
      <c r="AK39" s="35" t="n"/>
      <c r="AL39" s="35" t="n"/>
      <c r="AM39" s="36" t="n"/>
    </row>
    <row r="40">
      <c r="A40" s="40" t="inlineStr">
        <is>
          <t>8.1 产量变化</t>
        </is>
      </c>
      <c r="B40" s="35" t="n"/>
      <c r="C40" s="35" t="n"/>
      <c r="D40" s="35" t="n"/>
      <c r="E40" s="35" t="n"/>
      <c r="F40" s="35" t="n"/>
      <c r="G40" s="35" t="n"/>
      <c r="H40" s="35" t="n"/>
      <c r="I40" s="35" t="n"/>
      <c r="J40" s="35" t="n"/>
      <c r="K40" s="35" t="n"/>
      <c r="L40" s="35" t="n"/>
      <c r="M40" s="35" t="n"/>
      <c r="N40" s="35" t="n"/>
      <c r="O40" s="35" t="n"/>
      <c r="P40" s="35" t="n"/>
      <c r="Q40" s="35" t="n"/>
      <c r="R40" s="35" t="n"/>
      <c r="S40" s="35" t="n"/>
      <c r="T40" s="35" t="n"/>
      <c r="U40" s="35" t="n"/>
      <c r="V40" s="35" t="n"/>
      <c r="W40" s="35" t="n"/>
      <c r="X40" s="35" t="n"/>
      <c r="Y40" s="35" t="n"/>
      <c r="Z40" s="35" t="n"/>
      <c r="AA40" s="35" t="n"/>
      <c r="AB40" s="35" t="n"/>
      <c r="AC40" s="35" t="n"/>
      <c r="AD40" s="35" t="n"/>
      <c r="AE40" s="35" t="n"/>
      <c r="AF40" s="35" t="n"/>
      <c r="AG40" s="35" t="n"/>
      <c r="AH40" s="35" t="n"/>
      <c r="AI40" s="35" t="n"/>
      <c r="AJ40" s="35" t="n"/>
      <c r="AK40" s="35" t="n"/>
      <c r="AL40" s="35" t="n"/>
      <c r="AM40" s="36" t="n"/>
    </row>
    <row r="41" ht="17" customHeight="1">
      <c r="A41" s="2" t="inlineStr">
        <is>
          <t>产量变化碳排放曲线(万吨CO2)</t>
        </is>
      </c>
      <c r="B41" s="7">
        <f>粗钢产量×1.95</f>
        <v/>
      </c>
      <c r="C41" s="20">
        <f>C13*1.95</f>
        <v/>
      </c>
      <c r="D41" s="20">
        <f>D13*1.95</f>
        <v/>
      </c>
      <c r="E41" s="20">
        <f>E13*1.95</f>
        <v/>
      </c>
      <c r="F41" s="20">
        <f>F13*1.95</f>
        <v/>
      </c>
      <c r="G41" s="20">
        <f>G13*1.95</f>
        <v/>
      </c>
      <c r="H41" s="20">
        <f>H13*1.95</f>
        <v/>
      </c>
      <c r="I41" s="20">
        <f>I13*1.95</f>
        <v/>
      </c>
      <c r="J41" s="20">
        <f>J13*1.95</f>
        <v/>
      </c>
      <c r="K41" s="20">
        <f>K13*1.95</f>
        <v/>
      </c>
      <c r="L41" s="20">
        <f>L13*1.95</f>
        <v/>
      </c>
      <c r="M41" s="20">
        <f>M13*1.95</f>
        <v/>
      </c>
      <c r="N41" s="20">
        <f>N13*1.95</f>
        <v/>
      </c>
      <c r="O41" s="20">
        <f>O13*1.95</f>
        <v/>
      </c>
      <c r="P41" s="20">
        <f>P13*1.95</f>
        <v/>
      </c>
      <c r="Q41" s="20">
        <f>Q13*1.95</f>
        <v/>
      </c>
      <c r="R41" s="20">
        <f>R13*1.95</f>
        <v/>
      </c>
      <c r="S41" s="20">
        <f>S13*1.95</f>
        <v/>
      </c>
      <c r="T41" s="20">
        <f>T13*1.95</f>
        <v/>
      </c>
      <c r="U41" s="20">
        <f>U13*1.95</f>
        <v/>
      </c>
      <c r="V41" s="20">
        <f>V13*1.95</f>
        <v/>
      </c>
      <c r="W41" s="20">
        <f>W13*1.95</f>
        <v/>
      </c>
      <c r="X41" s="20">
        <f>X13*1.95</f>
        <v/>
      </c>
      <c r="Y41" s="20">
        <f>Y13*1.95</f>
        <v/>
      </c>
      <c r="Z41" s="20">
        <f>Z13*1.95</f>
        <v/>
      </c>
      <c r="AA41" s="20">
        <f>AA13*1.95</f>
        <v/>
      </c>
      <c r="AB41" s="20">
        <f>AB13*1.95</f>
        <v/>
      </c>
      <c r="AC41" s="20">
        <f>AC13*1.95</f>
        <v/>
      </c>
      <c r="AD41" s="20">
        <f>AD13*1.95</f>
        <v/>
      </c>
      <c r="AE41" s="20">
        <f>AE13*1.95</f>
        <v/>
      </c>
      <c r="AF41" s="20">
        <f>AF13*1.95</f>
        <v/>
      </c>
      <c r="AG41" s="20">
        <f>AG13*1.95</f>
        <v/>
      </c>
      <c r="AH41" s="20">
        <f>AH13*1.95</f>
        <v/>
      </c>
      <c r="AI41" s="20">
        <f>AI13*1.95</f>
        <v/>
      </c>
      <c r="AJ41" s="20">
        <f>AJ13*1.95</f>
        <v/>
      </c>
      <c r="AK41" s="20">
        <f>AK13*1.95</f>
        <v/>
      </c>
      <c r="AL41" s="20">
        <f>AL13*1.95</f>
        <v/>
      </c>
      <c r="AM41" s="20">
        <f>AM13*1.95</f>
        <v/>
      </c>
    </row>
    <row r="42" ht="17" customHeight="1">
      <c r="A42" s="2" t="inlineStr">
        <is>
          <t>产量变化降碳潜力(万吨CO2)</t>
        </is>
      </c>
      <c r="B42" s="7">
        <f>基准产量×1.95-当年曲线</f>
        <v/>
      </c>
      <c r="C42" s="20">
        <f>100509*1.95-C41</f>
        <v/>
      </c>
      <c r="D42" s="20">
        <f>100509*1.95-D41</f>
        <v/>
      </c>
      <c r="E42" s="20">
        <f>100509*1.95-E41</f>
        <v/>
      </c>
      <c r="F42" s="20">
        <f>100509*1.95-F41</f>
        <v/>
      </c>
      <c r="G42" s="20">
        <f>100509*1.95-G41</f>
        <v/>
      </c>
      <c r="H42" s="20">
        <f>100509*1.95-H41</f>
        <v/>
      </c>
      <c r="I42" s="20">
        <f>100509*1.95-I41</f>
        <v/>
      </c>
      <c r="J42" s="20">
        <f>100509*1.95-J41</f>
        <v/>
      </c>
      <c r="K42" s="20">
        <f>100509*1.95-K41</f>
        <v/>
      </c>
      <c r="L42" s="20">
        <f>100509*1.95-L41</f>
        <v/>
      </c>
      <c r="M42" s="20">
        <f>100509*1.95-M41</f>
        <v/>
      </c>
      <c r="N42" s="20">
        <f>100509*1.95-N41</f>
        <v/>
      </c>
      <c r="O42" s="20">
        <f>100509*1.95-O41</f>
        <v/>
      </c>
      <c r="P42" s="20">
        <f>100509*1.95-P41</f>
        <v/>
      </c>
      <c r="Q42" s="20">
        <f>100509*1.95-Q41</f>
        <v/>
      </c>
      <c r="R42" s="20">
        <f>100509*1.95-R41</f>
        <v/>
      </c>
      <c r="S42" s="20">
        <f>100509*1.95-S41</f>
        <v/>
      </c>
      <c r="T42" s="20">
        <f>100509*1.95-T41</f>
        <v/>
      </c>
      <c r="U42" s="20">
        <f>100509*1.95-U41</f>
        <v/>
      </c>
      <c r="V42" s="20">
        <f>100509*1.95-V41</f>
        <v/>
      </c>
      <c r="W42" s="20">
        <f>100509*1.95-W41</f>
        <v/>
      </c>
      <c r="X42" s="20">
        <f>100509*1.95-X41</f>
        <v/>
      </c>
      <c r="Y42" s="20">
        <f>100509*1.95-Y41</f>
        <v/>
      </c>
      <c r="Z42" s="20">
        <f>100509*1.95-Z41</f>
        <v/>
      </c>
      <c r="AA42" s="20">
        <f>100509*1.95-AA41</f>
        <v/>
      </c>
      <c r="AB42" s="20">
        <f>100509*1.95-AB41</f>
        <v/>
      </c>
      <c r="AC42" s="20">
        <f>100509*1.95-AC41</f>
        <v/>
      </c>
      <c r="AD42" s="20">
        <f>100509*1.95-AD41</f>
        <v/>
      </c>
      <c r="AE42" s="20">
        <f>100509*1.95-AE41</f>
        <v/>
      </c>
      <c r="AF42" s="20">
        <f>100509*1.95-AF41</f>
        <v/>
      </c>
      <c r="AG42" s="20">
        <f>100509*1.95-AG41</f>
        <v/>
      </c>
      <c r="AH42" s="20">
        <f>100509*1.95-AH41</f>
        <v/>
      </c>
      <c r="AI42" s="20">
        <f>100509*1.95-AI41</f>
        <v/>
      </c>
      <c r="AJ42" s="20">
        <f>100509*1.95-AJ41</f>
        <v/>
      </c>
      <c r="AK42" s="20">
        <f>100509*1.95-AK41</f>
        <v/>
      </c>
      <c r="AL42" s="20">
        <f>100509*1.95-AL41</f>
        <v/>
      </c>
      <c r="AM42" s="20">
        <f>100509*1.95-AM41</f>
        <v/>
      </c>
    </row>
    <row r="43">
      <c r="A43" s="40" t="inlineStr">
        <is>
          <t>8.2 原料结构优化</t>
        </is>
      </c>
      <c r="B43" s="35" t="n"/>
      <c r="C43" s="35" t="n"/>
      <c r="D43" s="35" t="n"/>
      <c r="E43" s="35" t="n"/>
      <c r="F43" s="35" t="n"/>
      <c r="G43" s="35" t="n"/>
      <c r="H43" s="35" t="n"/>
      <c r="I43" s="35" t="n"/>
      <c r="J43" s="35" t="n"/>
      <c r="K43" s="35" t="n"/>
      <c r="L43" s="35" t="n"/>
      <c r="M43" s="35" t="n"/>
      <c r="N43" s="35" t="n"/>
      <c r="O43" s="35" t="n"/>
      <c r="P43" s="35" t="n"/>
      <c r="Q43" s="35" t="n"/>
      <c r="R43" s="35" t="n"/>
      <c r="S43" s="35" t="n"/>
      <c r="T43" s="35" t="n"/>
      <c r="U43" s="35" t="n"/>
      <c r="V43" s="35" t="n"/>
      <c r="W43" s="35" t="n"/>
      <c r="X43" s="35" t="n"/>
      <c r="Y43" s="35" t="n"/>
      <c r="Z43" s="35" t="n"/>
      <c r="AA43" s="35" t="n"/>
      <c r="AB43" s="35" t="n"/>
      <c r="AC43" s="35" t="n"/>
      <c r="AD43" s="35" t="n"/>
      <c r="AE43" s="35" t="n"/>
      <c r="AF43" s="35" t="n"/>
      <c r="AG43" s="35" t="n"/>
      <c r="AH43" s="35" t="n"/>
      <c r="AI43" s="35" t="n"/>
      <c r="AJ43" s="35" t="n"/>
      <c r="AK43" s="35" t="n"/>
      <c r="AL43" s="35" t="n"/>
      <c r="AM43" s="36" t="n"/>
    </row>
    <row r="44" ht="17" customHeight="1">
      <c r="A44" s="2" t="inlineStr">
        <is>
          <t>原料优化降碳潜力(万吨CO2)</t>
        </is>
      </c>
      <c r="B44" s="7" t="n"/>
      <c r="C44" s="20">
        <f>C13*(1-C15/100-C16/100)*(C23-0.38200001989871557)*1.26</f>
        <v/>
      </c>
      <c r="D44" s="20">
        <f>D13*(1-D15/100-D16/100)*(D23-0.38200001989871557)*1.26</f>
        <v/>
      </c>
      <c r="E44" s="20">
        <f>E13*(1-E15/100-E16/100)*(E23-0.38200001989871557)*1.26</f>
        <v/>
      </c>
      <c r="F44" s="20">
        <f>F13*(1-F15/100-F16/100)*(F23-0.38200001989871557)*1.26</f>
        <v/>
      </c>
      <c r="G44" s="20">
        <f>G13*(1-G15/100-G16/100)*(G23-0.38200001989871557)*1.26</f>
        <v/>
      </c>
      <c r="H44" s="20">
        <f>H13*(1-H15/100-H16/100)*(H23-0.38200001989871557)*1.26</f>
        <v/>
      </c>
      <c r="I44" s="20">
        <f>I13*(1-I15/100-I16/100)*(I23-0.38200001989871557)*1.26</f>
        <v/>
      </c>
      <c r="J44" s="20">
        <f>J13*(1-J15/100-J16/100)*(J23-0.38200001989871557)*1.26</f>
        <v/>
      </c>
      <c r="K44" s="20">
        <f>K13*(1-K15/100-K16/100)*(K23-0.38200001989871557)*1.26</f>
        <v/>
      </c>
      <c r="L44" s="20">
        <f>L13*(1-L15/100-L16/100)*(L23-0.38200001989871557)*1.26</f>
        <v/>
      </c>
      <c r="M44" s="20">
        <f>M13*(1-M15/100-M16/100)*(M23-0.38200001989871557)*1.26</f>
        <v/>
      </c>
      <c r="N44" s="20">
        <f>N13*(1-N15/100-N16/100)*(N23-0.38200001989871557)*1.26</f>
        <v/>
      </c>
      <c r="O44" s="20">
        <f>O13*(1-O15/100-O16/100)*(O23-0.38200001989871557)*1.26</f>
        <v/>
      </c>
      <c r="P44" s="20">
        <f>P13*(1-P15/100-P16/100)*(P23-0.38200001989871557)*1.26</f>
        <v/>
      </c>
      <c r="Q44" s="20">
        <f>Q13*(1-Q15/100-Q16/100)*(Q23-0.38200001989871557)*1.26</f>
        <v/>
      </c>
      <c r="R44" s="20">
        <f>R13*(1-R15/100-R16/100)*(R23-0.38200001989871557)*1.26</f>
        <v/>
      </c>
      <c r="S44" s="20">
        <f>S13*(1-S15/100-S16/100)*(S23-0.38200001989871557)*1.26</f>
        <v/>
      </c>
      <c r="T44" s="20">
        <f>T13*(1-T15/100-T16/100)*(T23-0.38200001989871557)*1.26</f>
        <v/>
      </c>
      <c r="U44" s="20">
        <f>U13*(1-U15/100-U16/100)*(U23-0.38200001989871557)*1.26</f>
        <v/>
      </c>
      <c r="V44" s="20">
        <f>V13*(1-V15/100-V16/100)*(V23-0.38200001989871557)*1.26</f>
        <v/>
      </c>
      <c r="W44" s="20">
        <f>W13*(1-W15/100-W16/100)*(W23-0.38200001989871557)*1.26</f>
        <v/>
      </c>
      <c r="X44" s="20">
        <f>X13*(1-X15/100-X16/100)*(X23-0.38200001989871557)*1.26</f>
        <v/>
      </c>
      <c r="Y44" s="20">
        <f>Y13*(1-Y15/100-Y16/100)*(Y23-0.38200001989871557)*1.26</f>
        <v/>
      </c>
      <c r="Z44" s="20">
        <f>Z13*(1-Z15/100-Z16/100)*(Z23-0.38200001989871557)*1.26</f>
        <v/>
      </c>
      <c r="AA44" s="20">
        <f>AA13*(1-AA15/100-AA16/100)*(AA23-0.38200001989871557)*1.26</f>
        <v/>
      </c>
      <c r="AB44" s="20">
        <f>AB13*(1-AB15/100-AB16/100)*(AB23-0.38200001989871557)*1.26</f>
        <v/>
      </c>
      <c r="AC44" s="20">
        <f>AC13*(1-AC15/100-AC16/100)*(AC23-0.38200001989871557)*1.26</f>
        <v/>
      </c>
      <c r="AD44" s="20">
        <f>AD13*(1-AD15/100-AD16/100)*(AD23-0.38200001989871557)*1.26</f>
        <v/>
      </c>
      <c r="AE44" s="20">
        <f>AE13*(1-AE15/100-AE16/100)*(AE23-0.38200001989871557)*1.26</f>
        <v/>
      </c>
      <c r="AF44" s="20">
        <f>AF13*(1-AF15/100-AF16/100)*(AF23-0.38200001989871557)*1.26</f>
        <v/>
      </c>
      <c r="AG44" s="20">
        <f>AG13*(1-AG15/100-AG16/100)*(AG23-0.38200001989871557)*1.26</f>
        <v/>
      </c>
      <c r="AH44" s="20">
        <f>AH13*(1-AH15/100-AH16/100)*(AH23-0.38200001989871557)*1.26</f>
        <v/>
      </c>
      <c r="AI44" s="20">
        <f>AI13*(1-AI15/100-AI16/100)*(AI23-0.38200001989871557)*1.26</f>
        <v/>
      </c>
      <c r="AJ44" s="20">
        <f>AJ13*(1-AJ15/100-AJ16/100)*(AJ23-0.38200001989871557)*1.26</f>
        <v/>
      </c>
      <c r="AK44" s="20">
        <f>AK13*(1-AK15/100-AK16/100)*(AK23-0.38200001989871557)*1.26</f>
        <v/>
      </c>
      <c r="AL44" s="20">
        <f>AL13*(1-AL15/100-AL16/100)*(AL23-0.38200001989871557)*1.26</f>
        <v/>
      </c>
      <c r="AM44" s="20">
        <f>AM13*(1-AM15/100-AM16/100)*(AM23-0.38200001989871557)*1.26</f>
        <v/>
      </c>
    </row>
    <row r="45" ht="17" customHeight="1">
      <c r="A45" s="2" t="inlineStr">
        <is>
          <t>原料优化碳排放曲线(万吨CO2)</t>
        </is>
      </c>
      <c r="B45" s="7">
        <f>产量曲线-原料降碳</f>
        <v/>
      </c>
      <c r="C45" s="20">
        <f>C41-C44</f>
        <v/>
      </c>
      <c r="D45" s="20">
        <f>D41-D44</f>
        <v/>
      </c>
      <c r="E45" s="20">
        <f>E41-E44</f>
        <v/>
      </c>
      <c r="F45" s="20">
        <f>F41-F44</f>
        <v/>
      </c>
      <c r="G45" s="20">
        <f>G41-G44</f>
        <v/>
      </c>
      <c r="H45" s="20">
        <f>H41-H44</f>
        <v/>
      </c>
      <c r="I45" s="20">
        <f>I41-I44</f>
        <v/>
      </c>
      <c r="J45" s="20">
        <f>J41-J44</f>
        <v/>
      </c>
      <c r="K45" s="20">
        <f>K41-K44</f>
        <v/>
      </c>
      <c r="L45" s="20">
        <f>L41-L44</f>
        <v/>
      </c>
      <c r="M45" s="20">
        <f>M41-M44</f>
        <v/>
      </c>
      <c r="N45" s="20">
        <f>N41-N44</f>
        <v/>
      </c>
      <c r="O45" s="20">
        <f>O41-O44</f>
        <v/>
      </c>
      <c r="P45" s="20">
        <f>P41-P44</f>
        <v/>
      </c>
      <c r="Q45" s="20">
        <f>Q41-Q44</f>
        <v/>
      </c>
      <c r="R45" s="20">
        <f>R41-R44</f>
        <v/>
      </c>
      <c r="S45" s="20">
        <f>S41-S44</f>
        <v/>
      </c>
      <c r="T45" s="20">
        <f>T41-T44</f>
        <v/>
      </c>
      <c r="U45" s="20">
        <f>U41-U44</f>
        <v/>
      </c>
      <c r="V45" s="20">
        <f>V41-V44</f>
        <v/>
      </c>
      <c r="W45" s="20">
        <f>W41-W44</f>
        <v/>
      </c>
      <c r="X45" s="20">
        <f>X41-X44</f>
        <v/>
      </c>
      <c r="Y45" s="20">
        <f>Y41-Y44</f>
        <v/>
      </c>
      <c r="Z45" s="20">
        <f>Z41-Z44</f>
        <v/>
      </c>
      <c r="AA45" s="20">
        <f>AA41-AA44</f>
        <v/>
      </c>
      <c r="AB45" s="20">
        <f>AB41-AB44</f>
        <v/>
      </c>
      <c r="AC45" s="20">
        <f>AC41-AC44</f>
        <v/>
      </c>
      <c r="AD45" s="20">
        <f>AD41-AD44</f>
        <v/>
      </c>
      <c r="AE45" s="20">
        <f>AE41-AE44</f>
        <v/>
      </c>
      <c r="AF45" s="20">
        <f>AF41-AF44</f>
        <v/>
      </c>
      <c r="AG45" s="20">
        <f>AG41-AG44</f>
        <v/>
      </c>
      <c r="AH45" s="20">
        <f>AH41-AH44</f>
        <v/>
      </c>
      <c r="AI45" s="20">
        <f>AI41-AI44</f>
        <v/>
      </c>
      <c r="AJ45" s="20">
        <f>AJ41-AJ44</f>
        <v/>
      </c>
      <c r="AK45" s="20">
        <f>AK41-AK44</f>
        <v/>
      </c>
      <c r="AL45" s="20">
        <f>AL41-AL44</f>
        <v/>
      </c>
      <c r="AM45" s="20">
        <f>AM41-AM44</f>
        <v/>
      </c>
    </row>
    <row r="46">
      <c r="A46" s="40" t="inlineStr">
        <is>
          <t>8.3 短流程比例提升</t>
        </is>
      </c>
      <c r="B46" s="35" t="n"/>
      <c r="C46" s="35" t="n"/>
      <c r="D46" s="35" t="n"/>
      <c r="E46" s="35" t="n"/>
      <c r="F46" s="35" t="n"/>
      <c r="G46" s="35" t="n"/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5" t="n"/>
      <c r="S46" s="35" t="n"/>
      <c r="T46" s="35" t="n"/>
      <c r="U46" s="35" t="n"/>
      <c r="V46" s="35" t="n"/>
      <c r="W46" s="35" t="n"/>
      <c r="X46" s="35" t="n"/>
      <c r="Y46" s="35" t="n"/>
      <c r="Z46" s="35" t="n"/>
      <c r="AA46" s="35" t="n"/>
      <c r="AB46" s="35" t="n"/>
      <c r="AC46" s="35" t="n"/>
      <c r="AD46" s="35" t="n"/>
      <c r="AE46" s="35" t="n"/>
      <c r="AF46" s="35" t="n"/>
      <c r="AG46" s="35" t="n"/>
      <c r="AH46" s="35" t="n"/>
      <c r="AI46" s="35" t="n"/>
      <c r="AJ46" s="35" t="n"/>
      <c r="AK46" s="35" t="n"/>
      <c r="AL46" s="35" t="n"/>
      <c r="AM46" s="36" t="n"/>
    </row>
    <row r="47" ht="17" customHeight="1">
      <c r="A47" s="2" t="inlineStr">
        <is>
          <t>短流程提升降碳潜力(万吨CO2)</t>
        </is>
      </c>
      <c r="B47" s="7" t="n"/>
      <c r="C47" s="20" t="n">
        <v>0</v>
      </c>
      <c r="D47" s="20" t="n">
        <v>432.3644999999962</v>
      </c>
      <c r="E47" s="20" t="n">
        <v>846.0000000000039</v>
      </c>
      <c r="F47" s="20" t="n">
        <v>1248.75</v>
      </c>
      <c r="G47" s="20" t="n">
        <v>1637.999999999997</v>
      </c>
      <c r="H47" s="20" t="n">
        <v>2013.750000000004</v>
      </c>
      <c r="I47" s="20" t="n">
        <v>2376</v>
      </c>
      <c r="J47" s="20" t="n">
        <v>3281.040000000001</v>
      </c>
      <c r="K47" s="20" t="n">
        <v>4160.16</v>
      </c>
      <c r="L47" s="20" t="n">
        <v>5013.360000000001</v>
      </c>
      <c r="M47" s="20" t="n">
        <v>5840.64</v>
      </c>
      <c r="N47" s="20" t="n">
        <v>6642</v>
      </c>
      <c r="O47" s="20" t="n">
        <v>7892.64</v>
      </c>
      <c r="P47" s="20" t="n">
        <v>9128.699999999999</v>
      </c>
      <c r="Q47" s="20" t="n">
        <v>10342.08</v>
      </c>
      <c r="R47" s="20" t="n">
        <v>11547.36</v>
      </c>
      <c r="S47" s="20" t="n">
        <v>12733.2</v>
      </c>
      <c r="T47" s="20" t="n">
        <v>13689</v>
      </c>
      <c r="U47" s="20" t="n">
        <v>14628.6</v>
      </c>
      <c r="V47" s="20" t="n">
        <v>15552</v>
      </c>
      <c r="W47" s="20" t="n">
        <v>16459.2</v>
      </c>
      <c r="X47" s="20" t="n">
        <v>17350.2</v>
      </c>
      <c r="Y47" s="20" t="n">
        <v>18225</v>
      </c>
      <c r="Z47" s="20" t="n">
        <v>19109.25</v>
      </c>
      <c r="AA47" s="20" t="n">
        <v>19980</v>
      </c>
      <c r="AB47" s="20" t="n">
        <v>20837.25</v>
      </c>
      <c r="AC47" s="20" t="n">
        <v>21681</v>
      </c>
      <c r="AD47" s="20" t="n">
        <v>22449.15</v>
      </c>
      <c r="AE47" s="20" t="n">
        <v>23198.4</v>
      </c>
      <c r="AF47" s="20" t="n">
        <v>23928.75</v>
      </c>
      <c r="AG47" s="20" t="n">
        <v>24640.2</v>
      </c>
      <c r="AH47" s="20" t="n">
        <v>25332.75</v>
      </c>
      <c r="AI47" s="20" t="n">
        <v>26006.4</v>
      </c>
      <c r="AJ47" s="20" t="n">
        <v>26700.3</v>
      </c>
      <c r="AK47" s="20" t="n">
        <v>27378</v>
      </c>
      <c r="AL47" s="20" t="n">
        <v>28081.35</v>
      </c>
      <c r="AM47" s="20" t="n">
        <v>28771.2</v>
      </c>
    </row>
    <row r="48" ht="17" customHeight="1">
      <c r="A48" s="2" t="inlineStr">
        <is>
          <t>短流程提升碳排放曲线(万吨CO2)</t>
        </is>
      </c>
      <c r="B48" s="7">
        <f>原料曲线-短流程降碳</f>
        <v/>
      </c>
      <c r="C48" s="20">
        <f>C45-C47</f>
        <v/>
      </c>
      <c r="D48" s="20">
        <f>D45-D47</f>
        <v/>
      </c>
      <c r="E48" s="20">
        <f>E45-E47</f>
        <v/>
      </c>
      <c r="F48" s="20">
        <f>F45-F47</f>
        <v/>
      </c>
      <c r="G48" s="20">
        <f>G45-G47</f>
        <v/>
      </c>
      <c r="H48" s="20">
        <f>H45-H47</f>
        <v/>
      </c>
      <c r="I48" s="20">
        <f>I45-I47</f>
        <v/>
      </c>
      <c r="J48" s="20">
        <f>J45-J47</f>
        <v/>
      </c>
      <c r="K48" s="20">
        <f>K45-K47</f>
        <v/>
      </c>
      <c r="L48" s="20">
        <f>L45-L47</f>
        <v/>
      </c>
      <c r="M48" s="20">
        <f>M45-M47</f>
        <v/>
      </c>
      <c r="N48" s="20">
        <f>N45-N47</f>
        <v/>
      </c>
      <c r="O48" s="20">
        <f>O45-O47</f>
        <v/>
      </c>
      <c r="P48" s="20">
        <f>P45-P47</f>
        <v/>
      </c>
      <c r="Q48" s="20">
        <f>Q45-Q47</f>
        <v/>
      </c>
      <c r="R48" s="20">
        <f>R45-R47</f>
        <v/>
      </c>
      <c r="S48" s="20">
        <f>S45-S47</f>
        <v/>
      </c>
      <c r="T48" s="20">
        <f>T45-T47</f>
        <v/>
      </c>
      <c r="U48" s="20">
        <f>U45-U47</f>
        <v/>
      </c>
      <c r="V48" s="20">
        <f>V45-V47</f>
        <v/>
      </c>
      <c r="W48" s="20">
        <f>W45-W47</f>
        <v/>
      </c>
      <c r="X48" s="20">
        <f>X45-X47</f>
        <v/>
      </c>
      <c r="Y48" s="20">
        <f>Y45-Y47</f>
        <v/>
      </c>
      <c r="Z48" s="20">
        <f>Z45-Z47</f>
        <v/>
      </c>
      <c r="AA48" s="20">
        <f>AA45-AA47</f>
        <v/>
      </c>
      <c r="AB48" s="20">
        <f>AB45-AB47</f>
        <v/>
      </c>
      <c r="AC48" s="20">
        <f>AC45-AC47</f>
        <v/>
      </c>
      <c r="AD48" s="20">
        <f>AD45-AD47</f>
        <v/>
      </c>
      <c r="AE48" s="20">
        <f>AE45-AE47</f>
        <v/>
      </c>
      <c r="AF48" s="20">
        <f>AF45-AF47</f>
        <v/>
      </c>
      <c r="AG48" s="20">
        <f>AG45-AG47</f>
        <v/>
      </c>
      <c r="AH48" s="20">
        <f>AH45-AH47</f>
        <v/>
      </c>
      <c r="AI48" s="20">
        <f>AI45-AI47</f>
        <v/>
      </c>
      <c r="AJ48" s="20">
        <f>AJ45-AJ47</f>
        <v/>
      </c>
      <c r="AK48" s="20">
        <f>AK45-AK47</f>
        <v/>
      </c>
      <c r="AL48" s="20">
        <f>AL45-AL47</f>
        <v/>
      </c>
      <c r="AM48" s="20">
        <f>AM45-AM47</f>
        <v/>
      </c>
    </row>
    <row r="49">
      <c r="A49" s="40" t="inlineStr">
        <is>
          <t>8.4 氢冶金比例提升</t>
        </is>
      </c>
      <c r="B49" s="35" t="n"/>
      <c r="C49" s="35" t="n"/>
      <c r="D49" s="35" t="n"/>
      <c r="E49" s="35" t="n"/>
      <c r="F49" s="35" t="n"/>
      <c r="G49" s="35" t="n"/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5" t="n"/>
      <c r="S49" s="35" t="n"/>
      <c r="T49" s="35" t="n"/>
      <c r="U49" s="35" t="n"/>
      <c r="V49" s="35" t="n"/>
      <c r="W49" s="35" t="n"/>
      <c r="X49" s="35" t="n"/>
      <c r="Y49" s="35" t="n"/>
      <c r="Z49" s="35" t="n"/>
      <c r="AA49" s="35" t="n"/>
      <c r="AB49" s="35" t="n"/>
      <c r="AC49" s="35" t="n"/>
      <c r="AD49" s="35" t="n"/>
      <c r="AE49" s="35" t="n"/>
      <c r="AF49" s="35" t="n"/>
      <c r="AG49" s="35" t="n"/>
      <c r="AH49" s="35" t="n"/>
      <c r="AI49" s="35" t="n"/>
      <c r="AJ49" s="35" t="n"/>
      <c r="AK49" s="35" t="n"/>
      <c r="AL49" s="35" t="n"/>
      <c r="AM49" s="36" t="n"/>
    </row>
    <row r="50" ht="17" customHeight="1">
      <c r="A50" s="2" t="inlineStr">
        <is>
          <t>氢冶金提升降碳潜力(万吨CO2)</t>
        </is>
      </c>
      <c r="B50" s="7" t="n"/>
      <c r="C50" s="20" t="n">
        <v>0</v>
      </c>
      <c r="D50" s="20" t="n">
        <v>19.21619999999998</v>
      </c>
      <c r="E50" s="20" t="n">
        <v>37.60000000000009</v>
      </c>
      <c r="F50" s="20" t="n">
        <v>55.50000000000004</v>
      </c>
      <c r="G50" s="20" t="n">
        <v>72.80000000000001</v>
      </c>
      <c r="H50" s="20" t="n">
        <v>89.50000000000013</v>
      </c>
      <c r="I50" s="20" t="n">
        <v>105.6000000000001</v>
      </c>
      <c r="J50" s="20" t="n">
        <v>135.4080000000001</v>
      </c>
      <c r="K50" s="20" t="n">
        <v>164.3520000000001</v>
      </c>
      <c r="L50" s="20" t="n">
        <v>192.4320000000002</v>
      </c>
      <c r="M50" s="20" t="n">
        <v>219.6480000000001</v>
      </c>
      <c r="N50" s="20" t="n">
        <v>246.0000000000002</v>
      </c>
      <c r="O50" s="20" t="n">
        <v>316.6800000000002</v>
      </c>
      <c r="P50" s="20" t="n">
        <v>386.4000000000003</v>
      </c>
      <c r="Q50" s="20" t="n">
        <v>454.8600000000004</v>
      </c>
      <c r="R50" s="20" t="n">
        <v>522.7200000000005</v>
      </c>
      <c r="S50" s="20" t="n">
        <v>589.5000000000006</v>
      </c>
      <c r="T50" s="20" t="n">
        <v>643.5000000000006</v>
      </c>
      <c r="U50" s="20" t="n">
        <v>696.6000000000006</v>
      </c>
      <c r="V50" s="20" t="n">
        <v>748.8000000000006</v>
      </c>
      <c r="W50" s="20" t="n">
        <v>800.1000000000007</v>
      </c>
      <c r="X50" s="20" t="n">
        <v>850.5000000000008</v>
      </c>
      <c r="Y50" s="20" t="n">
        <v>900.0000000000008</v>
      </c>
      <c r="Z50" s="20" t="n">
        <v>949.8750000000008</v>
      </c>
      <c r="AA50" s="20" t="n">
        <v>999.0000000000009</v>
      </c>
      <c r="AB50" s="20" t="n">
        <v>1047.375000000001</v>
      </c>
      <c r="AC50" s="20" t="n">
        <v>1095.000000000001</v>
      </c>
      <c r="AD50" s="20" t="n">
        <v>1127.880000000001</v>
      </c>
      <c r="AE50" s="20" t="n">
        <v>1159.920000000001</v>
      </c>
      <c r="AF50" s="20" t="n">
        <v>1191.120000000001</v>
      </c>
      <c r="AG50" s="20" t="n">
        <v>1221.480000000001</v>
      </c>
      <c r="AH50" s="20" t="n">
        <v>1251.000000000001</v>
      </c>
      <c r="AI50" s="20" t="n">
        <v>1279.680000000001</v>
      </c>
      <c r="AJ50" s="20" t="n">
        <v>1309.440000000001</v>
      </c>
      <c r="AK50" s="20" t="n">
        <v>1338.480000000001</v>
      </c>
      <c r="AL50" s="20" t="n">
        <v>1368.840000000001</v>
      </c>
      <c r="AM50" s="20" t="n">
        <v>1398.600000000001</v>
      </c>
    </row>
    <row r="51" ht="17" customHeight="1">
      <c r="A51" s="2" t="inlineStr">
        <is>
          <t>氢冶金提升碳排放曲线(万吨CO2)</t>
        </is>
      </c>
      <c r="B51" s="7">
        <f>短流程曲线-氢冶金降碳</f>
        <v/>
      </c>
      <c r="C51" s="20">
        <f>C48-C50</f>
        <v/>
      </c>
      <c r="D51" s="20">
        <f>D48-D50</f>
        <v/>
      </c>
      <c r="E51" s="20">
        <f>E48-E50</f>
        <v/>
      </c>
      <c r="F51" s="20">
        <f>F48-F50</f>
        <v/>
      </c>
      <c r="G51" s="20">
        <f>G48-G50</f>
        <v/>
      </c>
      <c r="H51" s="20">
        <f>H48-H50</f>
        <v/>
      </c>
      <c r="I51" s="20">
        <f>I48-I50</f>
        <v/>
      </c>
      <c r="J51" s="20">
        <f>J48-J50</f>
        <v/>
      </c>
      <c r="K51" s="20">
        <f>K48-K50</f>
        <v/>
      </c>
      <c r="L51" s="20">
        <f>L48-L50</f>
        <v/>
      </c>
      <c r="M51" s="20">
        <f>M48-M50</f>
        <v/>
      </c>
      <c r="N51" s="20">
        <f>N48-N50</f>
        <v/>
      </c>
      <c r="O51" s="20">
        <f>O48-O50</f>
        <v/>
      </c>
      <c r="P51" s="20">
        <f>P48-P50</f>
        <v/>
      </c>
      <c r="Q51" s="20">
        <f>Q48-Q50</f>
        <v/>
      </c>
      <c r="R51" s="20">
        <f>R48-R50</f>
        <v/>
      </c>
      <c r="S51" s="20">
        <f>S48-S50</f>
        <v/>
      </c>
      <c r="T51" s="20">
        <f>T48-T50</f>
        <v/>
      </c>
      <c r="U51" s="20">
        <f>U48-U50</f>
        <v/>
      </c>
      <c r="V51" s="20">
        <f>V48-V50</f>
        <v/>
      </c>
      <c r="W51" s="20">
        <f>W48-W50</f>
        <v/>
      </c>
      <c r="X51" s="20">
        <f>X48-X50</f>
        <v/>
      </c>
      <c r="Y51" s="20">
        <f>Y48-Y50</f>
        <v/>
      </c>
      <c r="Z51" s="20">
        <f>Z48-Z50</f>
        <v/>
      </c>
      <c r="AA51" s="20">
        <f>AA48-AA50</f>
        <v/>
      </c>
      <c r="AB51" s="20">
        <f>AB48-AB50</f>
        <v/>
      </c>
      <c r="AC51" s="20">
        <f>AC48-AC50</f>
        <v/>
      </c>
      <c r="AD51" s="20">
        <f>AD48-AD50</f>
        <v/>
      </c>
      <c r="AE51" s="20">
        <f>AE48-AE50</f>
        <v/>
      </c>
      <c r="AF51" s="20">
        <f>AF48-AF50</f>
        <v/>
      </c>
      <c r="AG51" s="20">
        <f>AG48-AG50</f>
        <v/>
      </c>
      <c r="AH51" s="20">
        <f>AH48-AH50</f>
        <v/>
      </c>
      <c r="AI51" s="20">
        <f>AI48-AI50</f>
        <v/>
      </c>
      <c r="AJ51" s="20">
        <f>AJ48-AJ50</f>
        <v/>
      </c>
      <c r="AK51" s="20">
        <f>AK48-AK50</f>
        <v/>
      </c>
      <c r="AL51" s="20">
        <f>AL48-AL50</f>
        <v/>
      </c>
      <c r="AM51" s="20">
        <f>AM48-AM50</f>
        <v/>
      </c>
    </row>
    <row r="52">
      <c r="A52" s="40" t="inlineStr">
        <is>
          <t>8.5 能源结构(绿电)</t>
        </is>
      </c>
      <c r="B52" s="35" t="n"/>
      <c r="C52" s="35" t="n"/>
      <c r="D52" s="35" t="n"/>
      <c r="E52" s="35" t="n"/>
      <c r="F52" s="35" t="n"/>
      <c r="G52" s="35" t="n"/>
      <c r="H52" s="35" t="n"/>
      <c r="I52" s="35" t="n"/>
      <c r="J52" s="35" t="n"/>
      <c r="K52" s="35" t="n"/>
      <c r="L52" s="35" t="n"/>
      <c r="M52" s="35" t="n"/>
      <c r="N52" s="35" t="n"/>
      <c r="O52" s="35" t="n"/>
      <c r="P52" s="35" t="n"/>
      <c r="Q52" s="35" t="n"/>
      <c r="R52" s="35" t="n"/>
      <c r="S52" s="35" t="n"/>
      <c r="T52" s="35" t="n"/>
      <c r="U52" s="35" t="n"/>
      <c r="V52" s="35" t="n"/>
      <c r="W52" s="35" t="n"/>
      <c r="X52" s="35" t="n"/>
      <c r="Y52" s="35" t="n"/>
      <c r="Z52" s="35" t="n"/>
      <c r="AA52" s="35" t="n"/>
      <c r="AB52" s="35" t="n"/>
      <c r="AC52" s="35" t="n"/>
      <c r="AD52" s="35" t="n"/>
      <c r="AE52" s="35" t="n"/>
      <c r="AF52" s="35" t="n"/>
      <c r="AG52" s="35" t="n"/>
      <c r="AH52" s="35" t="n"/>
      <c r="AI52" s="35" t="n"/>
      <c r="AJ52" s="35" t="n"/>
      <c r="AK52" s="35" t="n"/>
      <c r="AL52" s="35" t="n"/>
      <c r="AM52" s="36" t="n"/>
    </row>
    <row r="53" ht="17" customHeight="1">
      <c r="A53" s="2" t="inlineStr">
        <is>
          <t>绿电降碳潜力(万吨CO2)</t>
        </is>
      </c>
      <c r="B53" s="7">
        <f>绿电量×0.5306/1000</f>
        <v/>
      </c>
      <c r="C53" s="20">
        <f>C33*0.5306/1000</f>
        <v/>
      </c>
      <c r="D53" s="20">
        <f>D33*0.5306/1000</f>
        <v/>
      </c>
      <c r="E53" s="20">
        <f>E33*0.5306/1000</f>
        <v/>
      </c>
      <c r="F53" s="20">
        <f>F33*0.5306/1000</f>
        <v/>
      </c>
      <c r="G53" s="20">
        <f>G33*0.5306/1000</f>
        <v/>
      </c>
      <c r="H53" s="20">
        <f>H33*0.5306/1000</f>
        <v/>
      </c>
      <c r="I53" s="20">
        <f>I33*0.5306/1000</f>
        <v/>
      </c>
      <c r="J53" s="20">
        <f>J33*0.5306/1000</f>
        <v/>
      </c>
      <c r="K53" s="20">
        <f>K33*0.5306/1000</f>
        <v/>
      </c>
      <c r="L53" s="20">
        <f>L33*0.5306/1000</f>
        <v/>
      </c>
      <c r="M53" s="20">
        <f>M33*0.5306/1000</f>
        <v/>
      </c>
      <c r="N53" s="20">
        <f>N33*0.5306/1000</f>
        <v/>
      </c>
      <c r="O53" s="20">
        <f>O33*0.5306/1000</f>
        <v/>
      </c>
      <c r="P53" s="20">
        <f>P33*0.5306/1000</f>
        <v/>
      </c>
      <c r="Q53" s="20">
        <f>Q33*0.5306/1000</f>
        <v/>
      </c>
      <c r="R53" s="20">
        <f>R33*0.5306/1000</f>
        <v/>
      </c>
      <c r="S53" s="20">
        <f>S33*0.5306/1000</f>
        <v/>
      </c>
      <c r="T53" s="20">
        <f>T33*0.5306/1000</f>
        <v/>
      </c>
      <c r="U53" s="20">
        <f>U33*0.5306/1000</f>
        <v/>
      </c>
      <c r="V53" s="20">
        <f>V33*0.5306/1000</f>
        <v/>
      </c>
      <c r="W53" s="20">
        <f>W33*0.5306/1000</f>
        <v/>
      </c>
      <c r="X53" s="20">
        <f>X33*0.5306/1000</f>
        <v/>
      </c>
      <c r="Y53" s="20">
        <f>Y33*0.5306/1000</f>
        <v/>
      </c>
      <c r="Z53" s="20">
        <f>Z33*0.5306/1000</f>
        <v/>
      </c>
      <c r="AA53" s="20">
        <f>AA33*0.5306/1000</f>
        <v/>
      </c>
      <c r="AB53" s="20">
        <f>AB33*0.5306/1000</f>
        <v/>
      </c>
      <c r="AC53" s="20">
        <f>AC33*0.5306/1000</f>
        <v/>
      </c>
      <c r="AD53" s="20">
        <f>AD33*0.5306/1000</f>
        <v/>
      </c>
      <c r="AE53" s="20">
        <f>AE33*0.5306/1000</f>
        <v/>
      </c>
      <c r="AF53" s="20">
        <f>AF33*0.5306/1000</f>
        <v/>
      </c>
      <c r="AG53" s="20">
        <f>AG33*0.5306/1000</f>
        <v/>
      </c>
      <c r="AH53" s="20">
        <f>AH33*0.5306/1000</f>
        <v/>
      </c>
      <c r="AI53" s="20">
        <f>AI33*0.5306/1000</f>
        <v/>
      </c>
      <c r="AJ53" s="20">
        <f>AJ33*0.5306/1000</f>
        <v/>
      </c>
      <c r="AK53" s="20">
        <f>AK33*0.5306/1000</f>
        <v/>
      </c>
      <c r="AL53" s="20">
        <f>AL33*0.5306/1000</f>
        <v/>
      </c>
      <c r="AM53" s="20">
        <f>AM33*0.5306/1000</f>
        <v/>
      </c>
    </row>
    <row r="54" ht="17" customHeight="1">
      <c r="A54" s="2" t="inlineStr">
        <is>
          <t>能源结构碳排放曲线(万吨CO2)</t>
        </is>
      </c>
      <c r="B54" s="7">
        <f>氢冶金曲线-绿电降碳</f>
        <v/>
      </c>
      <c r="C54" s="20">
        <f>C51-C53</f>
        <v/>
      </c>
      <c r="D54" s="20">
        <f>D51-D53</f>
        <v/>
      </c>
      <c r="E54" s="20">
        <f>E51-E53</f>
        <v/>
      </c>
      <c r="F54" s="20">
        <f>F51-F53</f>
        <v/>
      </c>
      <c r="G54" s="20">
        <f>G51-G53</f>
        <v/>
      </c>
      <c r="H54" s="20">
        <f>H51-H53</f>
        <v/>
      </c>
      <c r="I54" s="20">
        <f>I51-I53</f>
        <v/>
      </c>
      <c r="J54" s="20">
        <f>J51-J53</f>
        <v/>
      </c>
      <c r="K54" s="20">
        <f>K51-K53</f>
        <v/>
      </c>
      <c r="L54" s="20">
        <f>L51-L53</f>
        <v/>
      </c>
      <c r="M54" s="20">
        <f>M51-M53</f>
        <v/>
      </c>
      <c r="N54" s="20">
        <f>N51-N53</f>
        <v/>
      </c>
      <c r="O54" s="20">
        <f>O51-O53</f>
        <v/>
      </c>
      <c r="P54" s="20">
        <f>P51-P53</f>
        <v/>
      </c>
      <c r="Q54" s="20">
        <f>Q51-Q53</f>
        <v/>
      </c>
      <c r="R54" s="20">
        <f>R51-R53</f>
        <v/>
      </c>
      <c r="S54" s="20">
        <f>S51-S53</f>
        <v/>
      </c>
      <c r="T54" s="20">
        <f>T51-T53</f>
        <v/>
      </c>
      <c r="U54" s="20">
        <f>U51-U53</f>
        <v/>
      </c>
      <c r="V54" s="20">
        <f>V51-V53</f>
        <v/>
      </c>
      <c r="W54" s="20">
        <f>W51-W53</f>
        <v/>
      </c>
      <c r="X54" s="20">
        <f>X51-X53</f>
        <v/>
      </c>
      <c r="Y54" s="20">
        <f>Y51-Y53</f>
        <v/>
      </c>
      <c r="Z54" s="20">
        <f>Z51-Z53</f>
        <v/>
      </c>
      <c r="AA54" s="20">
        <f>AA51-AA53</f>
        <v/>
      </c>
      <c r="AB54" s="20">
        <f>AB51-AB53</f>
        <v/>
      </c>
      <c r="AC54" s="20">
        <f>AC51-AC53</f>
        <v/>
      </c>
      <c r="AD54" s="20">
        <f>AD51-AD53</f>
        <v/>
      </c>
      <c r="AE54" s="20">
        <f>AE51-AE53</f>
        <v/>
      </c>
      <c r="AF54" s="20">
        <f>AF51-AF53</f>
        <v/>
      </c>
      <c r="AG54" s="20">
        <f>AG51-AG53</f>
        <v/>
      </c>
      <c r="AH54" s="20">
        <f>AH51-AH53</f>
        <v/>
      </c>
      <c r="AI54" s="20">
        <f>AI51-AI53</f>
        <v/>
      </c>
      <c r="AJ54" s="20">
        <f>AJ51-AJ53</f>
        <v/>
      </c>
      <c r="AK54" s="20">
        <f>AK51-AK53</f>
        <v/>
      </c>
      <c r="AL54" s="20">
        <f>AL51-AL53</f>
        <v/>
      </c>
      <c r="AM54" s="20">
        <f>AM51-AM53</f>
        <v/>
      </c>
    </row>
    <row r="55">
      <c r="A55" s="40" t="inlineStr">
        <is>
          <t>8.6 低碳工艺技术</t>
        </is>
      </c>
      <c r="B55" s="35" t="n"/>
      <c r="C55" s="35" t="n"/>
      <c r="D55" s="35" t="n"/>
      <c r="E55" s="35" t="n"/>
      <c r="F55" s="35" t="n"/>
      <c r="G55" s="35" t="n"/>
      <c r="H55" s="35" t="n"/>
      <c r="I55" s="35" t="n"/>
      <c r="J55" s="35" t="n"/>
      <c r="K55" s="35" t="n"/>
      <c r="L55" s="35" t="n"/>
      <c r="M55" s="35" t="n"/>
      <c r="N55" s="35" t="n"/>
      <c r="O55" s="35" t="n"/>
      <c r="P55" s="35" t="n"/>
      <c r="Q55" s="35" t="n"/>
      <c r="R55" s="35" t="n"/>
      <c r="S55" s="35" t="n"/>
      <c r="T55" s="35" t="n"/>
      <c r="U55" s="35" t="n"/>
      <c r="V55" s="35" t="n"/>
      <c r="W55" s="35" t="n"/>
      <c r="X55" s="35" t="n"/>
      <c r="Y55" s="35" t="n"/>
      <c r="Z55" s="35" t="n"/>
      <c r="AA55" s="35" t="n"/>
      <c r="AB55" s="35" t="n"/>
      <c r="AC55" s="35" t="n"/>
      <c r="AD55" s="35" t="n"/>
      <c r="AE55" s="35" t="n"/>
      <c r="AF55" s="35" t="n"/>
      <c r="AG55" s="35" t="n"/>
      <c r="AH55" s="35" t="n"/>
      <c r="AI55" s="35" t="n"/>
      <c r="AJ55" s="35" t="n"/>
      <c r="AK55" s="35" t="n"/>
      <c r="AL55" s="35" t="n"/>
      <c r="AM55" s="36" t="n"/>
    </row>
    <row r="56" ht="17" customHeight="1">
      <c r="A56" s="2" t="inlineStr">
        <is>
          <t>低碳工艺降碳潜力(万吨CO2)</t>
        </is>
      </c>
      <c r="B56" s="7">
        <f>产量×累计技术潜力</f>
        <v/>
      </c>
      <c r="C56" s="20">
        <f>C13*C37</f>
        <v/>
      </c>
      <c r="D56" s="20">
        <f>D13*D37</f>
        <v/>
      </c>
      <c r="E56" s="20">
        <f>E13*E37</f>
        <v/>
      </c>
      <c r="F56" s="20">
        <f>F13*F37</f>
        <v/>
      </c>
      <c r="G56" s="20">
        <f>G13*G37</f>
        <v/>
      </c>
      <c r="H56" s="20">
        <f>H13*H37</f>
        <v/>
      </c>
      <c r="I56" s="20">
        <f>I13*I37</f>
        <v/>
      </c>
      <c r="J56" s="20">
        <f>J13*J37</f>
        <v/>
      </c>
      <c r="K56" s="20">
        <f>K13*K37</f>
        <v/>
      </c>
      <c r="L56" s="20">
        <f>L13*L37</f>
        <v/>
      </c>
      <c r="M56" s="20">
        <f>M13*M37</f>
        <v/>
      </c>
      <c r="N56" s="20">
        <f>N13*N37</f>
        <v/>
      </c>
      <c r="O56" s="20">
        <f>O13*O37</f>
        <v/>
      </c>
      <c r="P56" s="20">
        <f>P13*P37</f>
        <v/>
      </c>
      <c r="Q56" s="20">
        <f>Q13*Q37</f>
        <v/>
      </c>
      <c r="R56" s="20">
        <f>R13*R37</f>
        <v/>
      </c>
      <c r="S56" s="20">
        <f>S13*S37</f>
        <v/>
      </c>
      <c r="T56" s="20">
        <f>T13*T37</f>
        <v/>
      </c>
      <c r="U56" s="20">
        <f>U13*U37</f>
        <v/>
      </c>
      <c r="V56" s="20">
        <f>V13*V37</f>
        <v/>
      </c>
      <c r="W56" s="20">
        <f>W13*W37</f>
        <v/>
      </c>
      <c r="X56" s="20">
        <f>X13*X37</f>
        <v/>
      </c>
      <c r="Y56" s="20">
        <f>Y13*Y37</f>
        <v/>
      </c>
      <c r="Z56" s="20">
        <f>Z13*Z37</f>
        <v/>
      </c>
      <c r="AA56" s="20">
        <f>AA13*AA37</f>
        <v/>
      </c>
      <c r="AB56" s="20">
        <f>AB13*AB37</f>
        <v/>
      </c>
      <c r="AC56" s="20">
        <f>AC13*AC37</f>
        <v/>
      </c>
      <c r="AD56" s="20">
        <f>AD13*AD37</f>
        <v/>
      </c>
      <c r="AE56" s="20">
        <f>AE13*AE37</f>
        <v/>
      </c>
      <c r="AF56" s="20">
        <f>AF13*AF37</f>
        <v/>
      </c>
      <c r="AG56" s="20">
        <f>AG13*AG37</f>
        <v/>
      </c>
      <c r="AH56" s="20">
        <f>AH13*AH37</f>
        <v/>
      </c>
      <c r="AI56" s="20">
        <f>AI13*AI37</f>
        <v/>
      </c>
      <c r="AJ56" s="20">
        <f>AJ13*AJ37</f>
        <v/>
      </c>
      <c r="AK56" s="20">
        <f>AK13*AK37</f>
        <v/>
      </c>
      <c r="AL56" s="20">
        <f>AL13*AL37</f>
        <v/>
      </c>
      <c r="AM56" s="20">
        <f>AM13*AM37</f>
        <v/>
      </c>
    </row>
    <row r="57" ht="17" customHeight="1">
      <c r="A57" s="2" t="inlineStr">
        <is>
          <t>低碳工艺碳排放曲线(万吨CO2)</t>
        </is>
      </c>
      <c r="B57" s="7">
        <f>能源曲线-技术降碳</f>
        <v/>
      </c>
      <c r="C57" s="20">
        <f>C54-C56</f>
        <v/>
      </c>
      <c r="D57" s="20">
        <f>D54-D56</f>
        <v/>
      </c>
      <c r="E57" s="20">
        <f>E54-E56</f>
        <v/>
      </c>
      <c r="F57" s="20">
        <f>F54-F56</f>
        <v/>
      </c>
      <c r="G57" s="20">
        <f>G54-G56</f>
        <v/>
      </c>
      <c r="H57" s="20">
        <f>H54-H56</f>
        <v/>
      </c>
      <c r="I57" s="20">
        <f>I54-I56</f>
        <v/>
      </c>
      <c r="J57" s="20">
        <f>J54-J56</f>
        <v/>
      </c>
      <c r="K57" s="20">
        <f>K54-K56</f>
        <v/>
      </c>
      <c r="L57" s="20">
        <f>L54-L56</f>
        <v/>
      </c>
      <c r="M57" s="20">
        <f>M54-M56</f>
        <v/>
      </c>
      <c r="N57" s="20">
        <f>N54-N56</f>
        <v/>
      </c>
      <c r="O57" s="20">
        <f>O54-O56</f>
        <v/>
      </c>
      <c r="P57" s="20">
        <f>P54-P56</f>
        <v/>
      </c>
      <c r="Q57" s="20">
        <f>Q54-Q56</f>
        <v/>
      </c>
      <c r="R57" s="20">
        <f>R54-R56</f>
        <v/>
      </c>
      <c r="S57" s="20">
        <f>S54-S56</f>
        <v/>
      </c>
      <c r="T57" s="20">
        <f>T54-T56</f>
        <v/>
      </c>
      <c r="U57" s="20">
        <f>U54-U56</f>
        <v/>
      </c>
      <c r="V57" s="20">
        <f>V54-V56</f>
        <v/>
      </c>
      <c r="W57" s="20">
        <f>W54-W56</f>
        <v/>
      </c>
      <c r="X57" s="20">
        <f>X54-X56</f>
        <v/>
      </c>
      <c r="Y57" s="20">
        <f>Y54-Y56</f>
        <v/>
      </c>
      <c r="Z57" s="20">
        <f>Z54-Z56</f>
        <v/>
      </c>
      <c r="AA57" s="20">
        <f>AA54-AA56</f>
        <v/>
      </c>
      <c r="AB57" s="20">
        <f>AB54-AB56</f>
        <v/>
      </c>
      <c r="AC57" s="20">
        <f>AC54-AC56</f>
        <v/>
      </c>
      <c r="AD57" s="20">
        <f>AD54-AD56</f>
        <v/>
      </c>
      <c r="AE57" s="20">
        <f>AE54-AE56</f>
        <v/>
      </c>
      <c r="AF57" s="20">
        <f>AF54-AF56</f>
        <v/>
      </c>
      <c r="AG57" s="20">
        <f>AG54-AG56</f>
        <v/>
      </c>
      <c r="AH57" s="20">
        <f>AH54-AH56</f>
        <v/>
      </c>
      <c r="AI57" s="20">
        <f>AI54-AI56</f>
        <v/>
      </c>
      <c r="AJ57" s="20">
        <f>AJ54-AJ56</f>
        <v/>
      </c>
      <c r="AK57" s="20">
        <f>AK54-AK56</f>
        <v/>
      </c>
      <c r="AL57" s="20">
        <f>AL54-AL56</f>
        <v/>
      </c>
      <c r="AM57" s="20">
        <f>AM54-AM56</f>
        <v/>
      </c>
    </row>
    <row r="58">
      <c r="A58" s="40" t="inlineStr">
        <is>
          <t>8.7 CCUS</t>
        </is>
      </c>
      <c r="B58" s="35" t="n"/>
      <c r="C58" s="35" t="n"/>
      <c r="D58" s="35" t="n"/>
      <c r="E58" s="35" t="n"/>
      <c r="F58" s="35" t="n"/>
      <c r="G58" s="35" t="n"/>
      <c r="H58" s="35" t="n"/>
      <c r="I58" s="35" t="n"/>
      <c r="J58" s="35" t="n"/>
      <c r="K58" s="35" t="n"/>
      <c r="L58" s="35" t="n"/>
      <c r="M58" s="35" t="n"/>
      <c r="N58" s="35" t="n"/>
      <c r="O58" s="35" t="n"/>
      <c r="P58" s="35" t="n"/>
      <c r="Q58" s="35" t="n"/>
      <c r="R58" s="35" t="n"/>
      <c r="S58" s="35" t="n"/>
      <c r="T58" s="35" t="n"/>
      <c r="U58" s="35" t="n"/>
      <c r="V58" s="35" t="n"/>
      <c r="W58" s="35" t="n"/>
      <c r="X58" s="35" t="n"/>
      <c r="Y58" s="35" t="n"/>
      <c r="Z58" s="35" t="n"/>
      <c r="AA58" s="35" t="n"/>
      <c r="AB58" s="35" t="n"/>
      <c r="AC58" s="35" t="n"/>
      <c r="AD58" s="35" t="n"/>
      <c r="AE58" s="35" t="n"/>
      <c r="AF58" s="35" t="n"/>
      <c r="AG58" s="35" t="n"/>
      <c r="AH58" s="35" t="n"/>
      <c r="AI58" s="35" t="n"/>
      <c r="AJ58" s="35" t="n"/>
      <c r="AK58" s="35" t="n"/>
      <c r="AL58" s="35" t="n"/>
      <c r="AM58" s="36" t="n"/>
    </row>
    <row r="59" ht="17" customHeight="1">
      <c r="A59" s="2" t="inlineStr">
        <is>
          <t>CCUS动态比例</t>
        </is>
      </c>
      <c r="B59" s="7" t="inlineStr">
        <is>
          <t>配平比例(2035前=0)</t>
        </is>
      </c>
      <c r="C59" s="44" t="n">
        <v>0</v>
      </c>
      <c r="D59" s="44">
        <f>MAX(0,MIN(0.98,IF(D57&gt;0,1-汇总对比与可视化看板!D4*D13/D57,0)))</f>
        <v/>
      </c>
      <c r="E59" s="44">
        <f>MAX(0,MIN(0.98,IF(E57&gt;0,1-汇总对比与可视化看板!D5*E13/E57,0)))</f>
        <v/>
      </c>
      <c r="F59" s="44">
        <f>MAX(0,MIN(0.98,IF(F57&gt;0,1-汇总对比与可视化看板!D6*F13/F57,0)))</f>
        <v/>
      </c>
      <c r="G59" s="44">
        <f>MAX(0,MIN(0.98,IF(G57&gt;0,1-汇总对比与可视化看板!D7*G13/G57,0)))</f>
        <v/>
      </c>
      <c r="H59" s="44">
        <f>MAX(0,MIN(0.98,IF(H57&gt;0,1-汇总对比与可视化看板!D8*H13/H57,0)))</f>
        <v/>
      </c>
      <c r="I59" s="44">
        <f>MAX(0,MIN(0.98,IF(I57&gt;0,1-汇总对比与可视化看板!D9*I13/I57,0)))</f>
        <v/>
      </c>
      <c r="J59" s="44">
        <f>MAX(0,MIN(0.98,IF(J57&gt;0,1-汇总对比与可视化看板!D10*J13/J57,0)))</f>
        <v/>
      </c>
      <c r="K59" s="44">
        <f>MAX(0,MIN(0.98,IF(K57&gt;0,1-汇总对比与可视化看板!D11*K13/K57,0)))</f>
        <v/>
      </c>
      <c r="L59" s="44">
        <f>MAX(0,MIN(0.98,IF(L57&gt;0,1-汇总对比与可视化看板!D12*L13/L57,0)))</f>
        <v/>
      </c>
      <c r="M59" s="44">
        <f>MAX(0,MIN(0.98,IF(M57&gt;0,1-汇总对比与可视化看板!D13*M13/M57,0)))</f>
        <v/>
      </c>
      <c r="N59" s="44">
        <f>MAX(0,MIN(0.98,IF(N57&gt;0,1-汇总对比与可视化看板!D14*N13/N57,0)))</f>
        <v/>
      </c>
      <c r="O59" s="44">
        <f>MAX(0,MIN(0.98,IF(O57&gt;0,1-汇总对比与可视化看板!D15*O13/O57,0)))</f>
        <v/>
      </c>
      <c r="P59" s="44">
        <f>MAX(0,MIN(0.98,IF(P57&gt;0,1-汇总对比与可视化看板!D16*P13/P57,0)))</f>
        <v/>
      </c>
      <c r="Q59" s="44">
        <f>MAX(0,MIN(0.98,IF(Q57&gt;0,1-汇总对比与可视化看板!D17*Q13/Q57,0)))</f>
        <v/>
      </c>
      <c r="R59" s="44">
        <f>MAX(0,MIN(0.98,IF(R57&gt;0,1-汇总对比与可视化看板!D18*R13/R57,0)))</f>
        <v/>
      </c>
      <c r="S59" s="44">
        <f>MAX(0,MIN(0.98,IF(S57&gt;0,1-汇总对比与可视化看板!D19*S13/S57,0)))</f>
        <v/>
      </c>
      <c r="T59" s="44">
        <f>MAX(0,MIN(0.98,IF(T57&gt;0,1-汇总对比与可视化看板!D20*T13/T57,0)))</f>
        <v/>
      </c>
      <c r="U59" s="44">
        <f>MAX(0,MIN(0.98,IF(U57&gt;0,1-汇总对比与可视化看板!D21*U13/U57,0)))</f>
        <v/>
      </c>
      <c r="V59" s="44">
        <f>MAX(0,MIN(0.98,IF(V57&gt;0,1-汇总对比与可视化看板!D22*V13/V57,0)))</f>
        <v/>
      </c>
      <c r="W59" s="44">
        <f>MAX(0,MIN(0.98,IF(W57&gt;0,1-汇总对比与可视化看板!D23*W13/W57,0)))</f>
        <v/>
      </c>
      <c r="X59" s="44">
        <f>MAX(0,MIN(0.98,IF(X57&gt;0,1-汇总对比与可视化看板!D24*X13/X57,0)))</f>
        <v/>
      </c>
      <c r="Y59" s="44">
        <f>MAX(0,MIN(0.98,IF(Y57&gt;0,1-汇总对比与可视化看板!D25*Y13/Y57,0)))</f>
        <v/>
      </c>
      <c r="Z59" s="44">
        <f>MAX(0,MIN(0.98,IF(Z57&gt;0,1-汇总对比与可视化看板!D26*Z13/Z57,0)))</f>
        <v/>
      </c>
      <c r="AA59" s="44">
        <f>MAX(0,MIN(0.98,IF(AA57&gt;0,1-汇总对比与可视化看板!D27*AA13/AA57,0)))</f>
        <v/>
      </c>
      <c r="AB59" s="44">
        <f>MAX(0,MIN(0.98,IF(AB57&gt;0,1-汇总对比与可视化看板!D28*AB13/AB57,0)))</f>
        <v/>
      </c>
      <c r="AC59" s="44">
        <f>MAX(0,MIN(0.98,IF(AC57&gt;0,1-汇总对比与可视化看板!D29*AC13/AC57,0)))</f>
        <v/>
      </c>
      <c r="AD59" s="44">
        <f>MAX(0,MIN(0.98,IF(AD57&gt;0,1-汇总对比与可视化看板!D30*AD13/AD57,0)))</f>
        <v/>
      </c>
      <c r="AE59" s="44">
        <f>MAX(0,MIN(0.98,IF(AE57&gt;0,1-汇总对比与可视化看板!D31*AE13/AE57,0)))</f>
        <v/>
      </c>
      <c r="AF59" s="44">
        <f>MAX(0,MIN(0.98,IF(AF57&gt;0,1-汇总对比与可视化看板!D32*AF13/AF57,0)))</f>
        <v/>
      </c>
      <c r="AG59" s="44">
        <f>MAX(0,MIN(0.98,IF(AG57&gt;0,1-汇总对比与可视化看板!D33*AG13/AG57,0)))</f>
        <v/>
      </c>
      <c r="AH59" s="44">
        <f>MAX(0,MIN(0.98,IF(AH57&gt;0,1-汇总对比与可视化看板!D34*AH13/AH57,0)))</f>
        <v/>
      </c>
      <c r="AI59" s="44">
        <f>MAX(0,MIN(0.98,IF(AI57&gt;0,1-汇总对比与可视化看板!D35*AI13/AI57,0)))</f>
        <v/>
      </c>
      <c r="AJ59" s="44">
        <f>MAX(0,MIN(0.98,IF(AJ57&gt;0,1-汇总对比与可视化看板!D36*AJ13/AJ57,0)))</f>
        <v/>
      </c>
      <c r="AK59" s="44">
        <f>MAX(0,MIN(0.98,IF(AK57&gt;0,1-汇总对比与可视化看板!D37*AK13/AK57,0)))</f>
        <v/>
      </c>
      <c r="AL59" s="44">
        <f>MAX(0,MIN(0.98,IF(AL57&gt;0,1-汇总对比与可视化看板!D38*AL13/AL57,0)))</f>
        <v/>
      </c>
      <c r="AM59" s="44">
        <f>MAX(0,MIN(0.98,IF(AM57&gt;0,1-汇总对比与可视化看板!D39*AM13/AM57,0)))</f>
        <v/>
      </c>
    </row>
    <row r="60" ht="17" customHeight="1">
      <c r="A60" s="5" t="inlineStr">
        <is>
          <t>CCUS捕集量(万吨CO2)</t>
        </is>
      </c>
      <c r="B60" s="7">
        <f>工艺曲线×CCUS比例</f>
        <v/>
      </c>
      <c r="C60" s="28">
        <f>C57*C59</f>
        <v/>
      </c>
      <c r="D60" s="28">
        <f>D57*D59</f>
        <v/>
      </c>
      <c r="E60" s="28">
        <f>E57*E59</f>
        <v/>
      </c>
      <c r="F60" s="28">
        <f>F57*F59</f>
        <v/>
      </c>
      <c r="G60" s="28">
        <f>G57*G59</f>
        <v/>
      </c>
      <c r="H60" s="28">
        <f>H57*H59</f>
        <v/>
      </c>
      <c r="I60" s="28">
        <f>I57*I59</f>
        <v/>
      </c>
      <c r="J60" s="28">
        <f>J57*J59</f>
        <v/>
      </c>
      <c r="K60" s="28">
        <f>K57*K59</f>
        <v/>
      </c>
      <c r="L60" s="28">
        <f>L57*L59</f>
        <v/>
      </c>
      <c r="M60" s="28">
        <f>M57*M59</f>
        <v/>
      </c>
      <c r="N60" s="28">
        <f>N57*N59</f>
        <v/>
      </c>
      <c r="O60" s="28">
        <f>O57*O59</f>
        <v/>
      </c>
      <c r="P60" s="28">
        <f>P57*P59</f>
        <v/>
      </c>
      <c r="Q60" s="28">
        <f>Q57*Q59</f>
        <v/>
      </c>
      <c r="R60" s="28">
        <f>R57*R59</f>
        <v/>
      </c>
      <c r="S60" s="28">
        <f>S57*S59</f>
        <v/>
      </c>
      <c r="T60" s="28">
        <f>T57*T59</f>
        <v/>
      </c>
      <c r="U60" s="28">
        <f>U57*U59</f>
        <v/>
      </c>
      <c r="V60" s="28">
        <f>V57*V59</f>
        <v/>
      </c>
      <c r="W60" s="28">
        <f>W57*W59</f>
        <v/>
      </c>
      <c r="X60" s="28">
        <f>X57*X59</f>
        <v/>
      </c>
      <c r="Y60" s="28">
        <f>Y57*Y59</f>
        <v/>
      </c>
      <c r="Z60" s="28">
        <f>Z57*Z59</f>
        <v/>
      </c>
      <c r="AA60" s="28">
        <f>AA57*AA59</f>
        <v/>
      </c>
      <c r="AB60" s="28">
        <f>AB57*AB59</f>
        <v/>
      </c>
      <c r="AC60" s="28">
        <f>AC57*AC59</f>
        <v/>
      </c>
      <c r="AD60" s="28">
        <f>AD57*AD59</f>
        <v/>
      </c>
      <c r="AE60" s="28">
        <f>AE57*AE59</f>
        <v/>
      </c>
      <c r="AF60" s="28">
        <f>AF57*AF59</f>
        <v/>
      </c>
      <c r="AG60" s="28">
        <f>AG57*AG59</f>
        <v/>
      </c>
      <c r="AH60" s="28">
        <f>AH57*AH59</f>
        <v/>
      </c>
      <c r="AI60" s="28">
        <f>AI57*AI59</f>
        <v/>
      </c>
      <c r="AJ60" s="28">
        <f>AJ57*AJ59</f>
        <v/>
      </c>
      <c r="AK60" s="28">
        <f>AK57*AK59</f>
        <v/>
      </c>
      <c r="AL60" s="28">
        <f>AL57*AL59</f>
        <v/>
      </c>
      <c r="AM60" s="28">
        <f>AM57*AM59</f>
        <v/>
      </c>
    </row>
    <row r="61">
      <c r="A61" s="40" t="inlineStr">
        <is>
          <t>8.8 最终结果</t>
        </is>
      </c>
      <c r="B61" s="35" t="n"/>
      <c r="C61" s="35" t="n"/>
      <c r="D61" s="35" t="n"/>
      <c r="E61" s="35" t="n"/>
      <c r="F61" s="35" t="n"/>
      <c r="G61" s="35" t="n"/>
      <c r="H61" s="35" t="n"/>
      <c r="I61" s="35" t="n"/>
      <c r="J61" s="35" t="n"/>
      <c r="K61" s="35" t="n"/>
      <c r="L61" s="35" t="n"/>
      <c r="M61" s="35" t="n"/>
      <c r="N61" s="35" t="n"/>
      <c r="O61" s="35" t="n"/>
      <c r="P61" s="35" t="n"/>
      <c r="Q61" s="35" t="n"/>
      <c r="R61" s="35" t="n"/>
      <c r="S61" s="35" t="n"/>
      <c r="T61" s="35" t="n"/>
      <c r="U61" s="35" t="n"/>
      <c r="V61" s="35" t="n"/>
      <c r="W61" s="35" t="n"/>
      <c r="X61" s="35" t="n"/>
      <c r="Y61" s="35" t="n"/>
      <c r="Z61" s="35" t="n"/>
      <c r="AA61" s="35" t="n"/>
      <c r="AB61" s="35" t="n"/>
      <c r="AC61" s="35" t="n"/>
      <c r="AD61" s="35" t="n"/>
      <c r="AE61" s="35" t="n"/>
      <c r="AF61" s="35" t="n"/>
      <c r="AG61" s="35" t="n"/>
      <c r="AH61" s="35" t="n"/>
      <c r="AI61" s="35" t="n"/>
      <c r="AJ61" s="35" t="n"/>
      <c r="AK61" s="35" t="n"/>
      <c r="AL61" s="35" t="n"/>
      <c r="AM61" s="36" t="n"/>
    </row>
    <row r="62" ht="17" customHeight="1">
      <c r="A62" s="5" t="inlineStr">
        <is>
          <t>碳排放总量(万吨CO2)</t>
        </is>
      </c>
      <c r="B62" s="7">
        <f>工艺曲线-CCUS</f>
        <v/>
      </c>
      <c r="C62" s="28">
        <f>C57-C60</f>
        <v/>
      </c>
      <c r="D62" s="28">
        <f>D57-D60</f>
        <v/>
      </c>
      <c r="E62" s="28">
        <f>E57-E60</f>
        <v/>
      </c>
      <c r="F62" s="28">
        <f>F57-F60</f>
        <v/>
      </c>
      <c r="G62" s="28">
        <f>G57-G60</f>
        <v/>
      </c>
      <c r="H62" s="28">
        <f>H57-H60</f>
        <v/>
      </c>
      <c r="I62" s="28">
        <f>I57-I60</f>
        <v/>
      </c>
      <c r="J62" s="28">
        <f>J57-J60</f>
        <v/>
      </c>
      <c r="K62" s="28">
        <f>K57-K60</f>
        <v/>
      </c>
      <c r="L62" s="28">
        <f>L57-L60</f>
        <v/>
      </c>
      <c r="M62" s="28">
        <f>M57-M60</f>
        <v/>
      </c>
      <c r="N62" s="28">
        <f>N57-N60</f>
        <v/>
      </c>
      <c r="O62" s="28">
        <f>O57-O60</f>
        <v/>
      </c>
      <c r="P62" s="28">
        <f>P57-P60</f>
        <v/>
      </c>
      <c r="Q62" s="28">
        <f>Q57-Q60</f>
        <v/>
      </c>
      <c r="R62" s="28">
        <f>R57-R60</f>
        <v/>
      </c>
      <c r="S62" s="28">
        <f>S57-S60</f>
        <v/>
      </c>
      <c r="T62" s="28">
        <f>T57-T60</f>
        <v/>
      </c>
      <c r="U62" s="28">
        <f>U57-U60</f>
        <v/>
      </c>
      <c r="V62" s="28">
        <f>V57-V60</f>
        <v/>
      </c>
      <c r="W62" s="28">
        <f>W57-W60</f>
        <v/>
      </c>
      <c r="X62" s="28">
        <f>X57-X60</f>
        <v/>
      </c>
      <c r="Y62" s="28">
        <f>Y57-Y60</f>
        <v/>
      </c>
      <c r="Z62" s="28">
        <f>Z57-Z60</f>
        <v/>
      </c>
      <c r="AA62" s="28">
        <f>AA57-AA60</f>
        <v/>
      </c>
      <c r="AB62" s="28">
        <f>AB57-AB60</f>
        <v/>
      </c>
      <c r="AC62" s="28">
        <f>AC57-AC60</f>
        <v/>
      </c>
      <c r="AD62" s="28">
        <f>AD57-AD60</f>
        <v/>
      </c>
      <c r="AE62" s="28">
        <f>AE57-AE60</f>
        <v/>
      </c>
      <c r="AF62" s="28">
        <f>AF57-AF60</f>
        <v/>
      </c>
      <c r="AG62" s="28">
        <f>AG57-AG60</f>
        <v/>
      </c>
      <c r="AH62" s="28">
        <f>AH57-AH60</f>
        <v/>
      </c>
      <c r="AI62" s="28">
        <f>AI57-AI60</f>
        <v/>
      </c>
      <c r="AJ62" s="28">
        <f>AJ57-AJ60</f>
        <v/>
      </c>
      <c r="AK62" s="28">
        <f>AK57-AK60</f>
        <v/>
      </c>
      <c r="AL62" s="28">
        <f>AL57-AL60</f>
        <v/>
      </c>
      <c r="AM62" s="28">
        <f>AM57-AM60</f>
        <v/>
      </c>
    </row>
    <row r="63" ht="17" customHeight="1">
      <c r="A63" s="5" t="inlineStr">
        <is>
          <t>吨钢碳排放强度(tCO2/t)</t>
        </is>
      </c>
      <c r="B63" s="7">
        <f>碳排放总量/粗钢产量</f>
        <v/>
      </c>
      <c r="C63" s="48">
        <f>IF(C13&gt;0,C62/C13,0)</f>
        <v/>
      </c>
      <c r="D63" s="48">
        <f>IF(D13&gt;0,D62/D13,0)</f>
        <v/>
      </c>
      <c r="E63" s="48">
        <f>IF(E13&gt;0,E62/E13,0)</f>
        <v/>
      </c>
      <c r="F63" s="48">
        <f>IF(F13&gt;0,F62/F13,0)</f>
        <v/>
      </c>
      <c r="G63" s="48">
        <f>IF(G13&gt;0,G62/G13,0)</f>
        <v/>
      </c>
      <c r="H63" s="48">
        <f>IF(H13&gt;0,H62/H13,0)</f>
        <v/>
      </c>
      <c r="I63" s="48">
        <f>IF(I13&gt;0,I62/I13,0)</f>
        <v/>
      </c>
      <c r="J63" s="48">
        <f>IF(J13&gt;0,J62/J13,0)</f>
        <v/>
      </c>
      <c r="K63" s="48">
        <f>IF(K13&gt;0,K62/K13,0)</f>
        <v/>
      </c>
      <c r="L63" s="48">
        <f>IF(L13&gt;0,L62/L13,0)</f>
        <v/>
      </c>
      <c r="M63" s="48">
        <f>IF(M13&gt;0,M62/M13,0)</f>
        <v/>
      </c>
      <c r="N63" s="48">
        <f>IF(N13&gt;0,N62/N13,0)</f>
        <v/>
      </c>
      <c r="O63" s="48">
        <f>IF(O13&gt;0,O62/O13,0)</f>
        <v/>
      </c>
      <c r="P63" s="48">
        <f>IF(P13&gt;0,P62/P13,0)</f>
        <v/>
      </c>
      <c r="Q63" s="48">
        <f>IF(Q13&gt;0,Q62/Q13,0)</f>
        <v/>
      </c>
      <c r="R63" s="48">
        <f>IF(R13&gt;0,R62/R13,0)</f>
        <v/>
      </c>
      <c r="S63" s="48">
        <f>IF(S13&gt;0,S62/S13,0)</f>
        <v/>
      </c>
      <c r="T63" s="48">
        <f>IF(T13&gt;0,T62/T13,0)</f>
        <v/>
      </c>
      <c r="U63" s="48">
        <f>IF(U13&gt;0,U62/U13,0)</f>
        <v/>
      </c>
      <c r="V63" s="48">
        <f>IF(V13&gt;0,V62/V13,0)</f>
        <v/>
      </c>
      <c r="W63" s="48">
        <f>IF(W13&gt;0,W62/W13,0)</f>
        <v/>
      </c>
      <c r="X63" s="48">
        <f>IF(X13&gt;0,X62/X13,0)</f>
        <v/>
      </c>
      <c r="Y63" s="48">
        <f>IF(Y13&gt;0,Y62/Y13,0)</f>
        <v/>
      </c>
      <c r="Z63" s="48">
        <f>IF(Z13&gt;0,Z62/Z13,0)</f>
        <v/>
      </c>
      <c r="AA63" s="48">
        <f>IF(AA13&gt;0,AA62/AA13,0)</f>
        <v/>
      </c>
      <c r="AB63" s="48">
        <f>IF(AB13&gt;0,AB62/AB13,0)</f>
        <v/>
      </c>
      <c r="AC63" s="48">
        <f>IF(AC13&gt;0,AC62/AC13,0)</f>
        <v/>
      </c>
      <c r="AD63" s="48">
        <f>IF(AD13&gt;0,AD62/AD13,0)</f>
        <v/>
      </c>
      <c r="AE63" s="48">
        <f>IF(AE13&gt;0,AE62/AE13,0)</f>
        <v/>
      </c>
      <c r="AF63" s="48">
        <f>IF(AF13&gt;0,AF62/AF13,0)</f>
        <v/>
      </c>
      <c r="AG63" s="48">
        <f>IF(AG13&gt;0,AG62/AG13,0)</f>
        <v/>
      </c>
      <c r="AH63" s="48">
        <f>IF(AH13&gt;0,AH62/AH13,0)</f>
        <v/>
      </c>
      <c r="AI63" s="48">
        <f>IF(AI13&gt;0,AI62/AI13,0)</f>
        <v/>
      </c>
      <c r="AJ63" s="48">
        <f>IF(AJ13&gt;0,AJ62/AJ13,0)</f>
        <v/>
      </c>
      <c r="AK63" s="48">
        <f>IF(AK13&gt;0,AK62/AK13,0)</f>
        <v/>
      </c>
      <c r="AL63" s="48">
        <f>IF(AL13&gt;0,AL62/AL13,0)</f>
        <v/>
      </c>
      <c r="AM63" s="48">
        <f>IF(AM13&gt;0,AM62/AM13,0)</f>
        <v/>
      </c>
    </row>
    <row r="64" ht="17" customHeight="1">
      <c r="A64" s="2" t="inlineStr">
        <is>
          <t>碳强度较基准年变化(%)</t>
        </is>
      </c>
      <c r="B64" s="7">
        <f>(当年-1.95)/1.95</f>
        <v/>
      </c>
      <c r="C64" s="43">
        <f>(C63-1.95)/1.95</f>
        <v/>
      </c>
      <c r="D64" s="43">
        <f>(D63-1.95)/1.95</f>
        <v/>
      </c>
      <c r="E64" s="43">
        <f>(E63-1.95)/1.95</f>
        <v/>
      </c>
      <c r="F64" s="43">
        <f>(F63-1.95)/1.95</f>
        <v/>
      </c>
      <c r="G64" s="43">
        <f>(G63-1.95)/1.95</f>
        <v/>
      </c>
      <c r="H64" s="43">
        <f>(H63-1.95)/1.95</f>
        <v/>
      </c>
      <c r="I64" s="43">
        <f>(I63-1.95)/1.95</f>
        <v/>
      </c>
      <c r="J64" s="43">
        <f>(J63-1.95)/1.95</f>
        <v/>
      </c>
      <c r="K64" s="43">
        <f>(K63-1.95)/1.95</f>
        <v/>
      </c>
      <c r="L64" s="43">
        <f>(L63-1.95)/1.95</f>
        <v/>
      </c>
      <c r="M64" s="43">
        <f>(M63-1.95)/1.95</f>
        <v/>
      </c>
      <c r="N64" s="43">
        <f>(N63-1.95)/1.95</f>
        <v/>
      </c>
      <c r="O64" s="43">
        <f>(O63-1.95)/1.95</f>
        <v/>
      </c>
      <c r="P64" s="43">
        <f>(P63-1.95)/1.95</f>
        <v/>
      </c>
      <c r="Q64" s="43">
        <f>(Q63-1.95)/1.95</f>
        <v/>
      </c>
      <c r="R64" s="43">
        <f>(R63-1.95)/1.95</f>
        <v/>
      </c>
      <c r="S64" s="43">
        <f>(S63-1.95)/1.95</f>
        <v/>
      </c>
      <c r="T64" s="43">
        <f>(T63-1.95)/1.95</f>
        <v/>
      </c>
      <c r="U64" s="43">
        <f>(U63-1.95)/1.95</f>
        <v/>
      </c>
      <c r="V64" s="43">
        <f>(V63-1.95)/1.95</f>
        <v/>
      </c>
      <c r="W64" s="43">
        <f>(W63-1.95)/1.95</f>
        <v/>
      </c>
      <c r="X64" s="43">
        <f>(X63-1.95)/1.95</f>
        <v/>
      </c>
      <c r="Y64" s="43">
        <f>(Y63-1.95)/1.95</f>
        <v/>
      </c>
      <c r="Z64" s="43">
        <f>(Z63-1.95)/1.95</f>
        <v/>
      </c>
      <c r="AA64" s="43">
        <f>(AA63-1.95)/1.95</f>
        <v/>
      </c>
      <c r="AB64" s="43">
        <f>(AB63-1.95)/1.95</f>
        <v/>
      </c>
      <c r="AC64" s="43">
        <f>(AC63-1.95)/1.95</f>
        <v/>
      </c>
      <c r="AD64" s="43">
        <f>(AD63-1.95)/1.95</f>
        <v/>
      </c>
      <c r="AE64" s="43">
        <f>(AE63-1.95)/1.95</f>
        <v/>
      </c>
      <c r="AF64" s="43">
        <f>(AF63-1.95)/1.95</f>
        <v/>
      </c>
      <c r="AG64" s="43">
        <f>(AG63-1.95)/1.95</f>
        <v/>
      </c>
      <c r="AH64" s="43">
        <f>(AH63-1.95)/1.95</f>
        <v/>
      </c>
      <c r="AI64" s="43">
        <f>(AI63-1.95)/1.95</f>
        <v/>
      </c>
      <c r="AJ64" s="43">
        <f>(AJ63-1.95)/1.95</f>
        <v/>
      </c>
      <c r="AK64" s="43">
        <f>(AK63-1.95)/1.95</f>
        <v/>
      </c>
      <c r="AL64" s="43">
        <f>(AL63-1.95)/1.95</f>
        <v/>
      </c>
      <c r="AM64" s="43">
        <f>(AM63-1.95)/1.95</f>
        <v/>
      </c>
    </row>
    <row r="65" ht="17" customHeight="1">
      <c r="A65" s="2" t="inlineStr">
        <is>
          <t>占全国碳预算比例(%)</t>
        </is>
      </c>
      <c r="B65" s="7">
        <f>碳排放/(全国排放×10000)</f>
        <v/>
      </c>
      <c r="C65" s="43">
        <f>C62/(C9*10000)</f>
        <v/>
      </c>
      <c r="D65" s="43">
        <f>D62/(D9*10000)</f>
        <v/>
      </c>
      <c r="E65" s="43">
        <f>E62/(E9*10000)</f>
        <v/>
      </c>
      <c r="F65" s="43">
        <f>F62/(F9*10000)</f>
        <v/>
      </c>
      <c r="G65" s="43">
        <f>G62/(G9*10000)</f>
        <v/>
      </c>
      <c r="H65" s="43">
        <f>H62/(H9*10000)</f>
        <v/>
      </c>
      <c r="I65" s="43">
        <f>I62/(I9*10000)</f>
        <v/>
      </c>
      <c r="J65" s="43">
        <f>J62/(J9*10000)</f>
        <v/>
      </c>
      <c r="K65" s="43">
        <f>K62/(K9*10000)</f>
        <v/>
      </c>
      <c r="L65" s="43">
        <f>L62/(L9*10000)</f>
        <v/>
      </c>
      <c r="M65" s="43">
        <f>M62/(M9*10000)</f>
        <v/>
      </c>
      <c r="N65" s="43">
        <f>N62/(N9*10000)</f>
        <v/>
      </c>
      <c r="O65" s="43">
        <f>O62/(O9*10000)</f>
        <v/>
      </c>
      <c r="P65" s="43">
        <f>P62/(P9*10000)</f>
        <v/>
      </c>
      <c r="Q65" s="43">
        <f>Q62/(Q9*10000)</f>
        <v/>
      </c>
      <c r="R65" s="43">
        <f>R62/(R9*10000)</f>
        <v/>
      </c>
      <c r="S65" s="43">
        <f>S62/(S9*10000)</f>
        <v/>
      </c>
      <c r="T65" s="43">
        <f>T62/(T9*10000)</f>
        <v/>
      </c>
      <c r="U65" s="43">
        <f>U62/(U9*10000)</f>
        <v/>
      </c>
      <c r="V65" s="43">
        <f>V62/(V9*10000)</f>
        <v/>
      </c>
      <c r="W65" s="43">
        <f>W62/(W9*10000)</f>
        <v/>
      </c>
      <c r="X65" s="43">
        <f>X62/(X9*10000)</f>
        <v/>
      </c>
      <c r="Y65" s="43">
        <f>Y62/(Y9*10000)</f>
        <v/>
      </c>
      <c r="Z65" s="43">
        <f>Z62/(Z9*10000)</f>
        <v/>
      </c>
      <c r="AA65" s="43">
        <f>AA62/(AA9*10000)</f>
        <v/>
      </c>
      <c r="AB65" s="43">
        <f>AB62/(AB9*10000)</f>
        <v/>
      </c>
      <c r="AC65" s="43">
        <f>AC62/(AC9*10000)</f>
        <v/>
      </c>
      <c r="AD65" s="43">
        <f>AD62/(AD9*10000)</f>
        <v/>
      </c>
      <c r="AE65" s="43">
        <f>AE62/(AE9*10000)</f>
        <v/>
      </c>
      <c r="AF65" s="43">
        <f>AF62/(AF9*10000)</f>
        <v/>
      </c>
      <c r="AG65" s="43">
        <f>AG62/(AG9*10000)</f>
        <v/>
      </c>
      <c r="AH65" s="43">
        <f>AH62/(AH9*10000)</f>
        <v/>
      </c>
      <c r="AI65" s="43">
        <f>AI62/(AI9*10000)</f>
        <v/>
      </c>
      <c r="AJ65" s="43">
        <f>AJ62/(AJ9*10000)</f>
        <v/>
      </c>
      <c r="AK65" s="43">
        <f>AK62/(AK9*10000)</f>
        <v/>
      </c>
      <c r="AL65" s="43">
        <f>AL62/(AL9*10000)</f>
        <v/>
      </c>
      <c r="AM65" s="43">
        <f>AM62/(AM9*10000)</f>
        <v/>
      </c>
    </row>
  </sheetData>
  <mergeCells count="20">
    <mergeCell ref="A61:AM61"/>
    <mergeCell ref="A46:AM46"/>
    <mergeCell ref="A12:AM12"/>
    <mergeCell ref="A21:AM21"/>
    <mergeCell ref="A55:AM55"/>
    <mergeCell ref="A14:AM14"/>
    <mergeCell ref="A1:J1"/>
    <mergeCell ref="A5:AM5"/>
    <mergeCell ref="AP11:AQ11"/>
    <mergeCell ref="A43:AM43"/>
    <mergeCell ref="A52:AM52"/>
    <mergeCell ref="A58:AM58"/>
    <mergeCell ref="A34:AM34"/>
    <mergeCell ref="A40:AM40"/>
    <mergeCell ref="AP25:AQ25"/>
    <mergeCell ref="A30:AM30"/>
    <mergeCell ref="A39:AM39"/>
    <mergeCell ref="A2:J2"/>
    <mergeCell ref="A49:AM49"/>
    <mergeCell ref="AP4:AQ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C00000"/>
    <outlinePr summaryBelow="1" summaryRight="1"/>
    <pageSetUpPr/>
  </sheetPr>
  <dimension ref="A1:AQ65"/>
  <sheetViews>
    <sheetView tabSelected="1" workbookViewId="0">
      <selection activeCell="N42" sqref="N42"/>
    </sheetView>
  </sheetViews>
  <sheetFormatPr baseColWidth="10" defaultColWidth="9" defaultRowHeight="14"/>
  <cols>
    <col width="35" customWidth="1" min="1" max="1"/>
    <col width="28" customWidth="1" min="2" max="2"/>
    <col width="14" customWidth="1" min="3" max="39"/>
    <col width="28" customWidth="1" min="42" max="42"/>
    <col width="16" customWidth="1" min="43" max="43"/>
  </cols>
  <sheetData>
    <row r="1" ht="20.5" customHeight="1">
      <c r="A1" s="38" t="inlineStr">
        <is>
          <t>钢铁行业减碳基准路径 - 保守情景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6" t="n"/>
    </row>
    <row r="2">
      <c r="A2" s="39" t="inlineStr">
        <is>
          <t>基准年2024 | 碳强度1.95 tCO2/t | CCUS百万吨起步 | 2024-2060逐年</t>
        </is>
      </c>
      <c r="B2" s="35" t="n"/>
      <c r="C2" s="35" t="n"/>
      <c r="D2" s="35" t="n"/>
      <c r="E2" s="35" t="n"/>
      <c r="F2" s="35" t="n"/>
      <c r="G2" s="35" t="n"/>
      <c r="H2" s="35" t="n"/>
      <c r="I2" s="35" t="n"/>
      <c r="J2" s="36" t="n"/>
    </row>
    <row r="4" ht="17" customHeight="1">
      <c r="A4" s="1" t="inlineStr">
        <is>
          <t>指标</t>
        </is>
      </c>
      <c r="B4" s="1" t="inlineStr">
        <is>
          <t>公式说明</t>
        </is>
      </c>
      <c r="C4" s="1" t="n">
        <v>2024</v>
      </c>
      <c r="D4" s="1" t="n">
        <v>2025</v>
      </c>
      <c r="E4" s="1" t="n">
        <v>2026</v>
      </c>
      <c r="F4" s="1" t="n">
        <v>2027</v>
      </c>
      <c r="G4" s="1" t="n">
        <v>2028</v>
      </c>
      <c r="H4" s="1" t="n">
        <v>2029</v>
      </c>
      <c r="I4" s="1" t="n">
        <v>2030</v>
      </c>
      <c r="J4" s="1" t="n">
        <v>2031</v>
      </c>
      <c r="K4" s="1" t="n">
        <v>2032</v>
      </c>
      <c r="L4" s="1" t="n">
        <v>2033</v>
      </c>
      <c r="M4" s="1" t="n">
        <v>2034</v>
      </c>
      <c r="N4" s="1" t="n">
        <v>2035</v>
      </c>
      <c r="O4" s="1" t="n">
        <v>2036</v>
      </c>
      <c r="P4" s="1" t="n">
        <v>2037</v>
      </c>
      <c r="Q4" s="1" t="n">
        <v>2038</v>
      </c>
      <c r="R4" s="1" t="n">
        <v>2039</v>
      </c>
      <c r="S4" s="1" t="n">
        <v>2040</v>
      </c>
      <c r="T4" s="1" t="n">
        <v>2041</v>
      </c>
      <c r="U4" s="1" t="n">
        <v>2042</v>
      </c>
      <c r="V4" s="1" t="n">
        <v>2043</v>
      </c>
      <c r="W4" s="1" t="n">
        <v>2044</v>
      </c>
      <c r="X4" s="1" t="n">
        <v>2045</v>
      </c>
      <c r="Y4" s="1" t="n">
        <v>2046</v>
      </c>
      <c r="Z4" s="1" t="n">
        <v>2047</v>
      </c>
      <c r="AA4" s="1" t="n">
        <v>2048</v>
      </c>
      <c r="AB4" s="1" t="n">
        <v>2049</v>
      </c>
      <c r="AC4" s="1" t="n">
        <v>2050</v>
      </c>
      <c r="AD4" s="1" t="n">
        <v>2051</v>
      </c>
      <c r="AE4" s="1" t="n">
        <v>2052</v>
      </c>
      <c r="AF4" s="1" t="n">
        <v>2053</v>
      </c>
      <c r="AG4" s="1" t="n">
        <v>2054</v>
      </c>
      <c r="AH4" s="1" t="n">
        <v>2055</v>
      </c>
      <c r="AI4" s="1" t="n">
        <v>2056</v>
      </c>
      <c r="AJ4" s="1" t="n">
        <v>2057</v>
      </c>
      <c r="AK4" s="1" t="n">
        <v>2058</v>
      </c>
      <c r="AL4" s="1" t="n">
        <v>2059</v>
      </c>
      <c r="AM4" s="1" t="n">
        <v>2060</v>
      </c>
      <c r="AP4" s="41" t="inlineStr">
        <is>
          <t>Step 2: 基准年参数</t>
        </is>
      </c>
      <c r="AQ4" s="36" t="n"/>
    </row>
    <row r="5" ht="17.5" customHeight="1">
      <c r="A5" s="34" t="inlineStr">
        <is>
          <t>Step 1: 宏观经济假设</t>
        </is>
      </c>
      <c r="B5" s="35" t="n"/>
      <c r="C5" s="35" t="n"/>
      <c r="D5" s="35" t="n"/>
      <c r="E5" s="35" t="n"/>
      <c r="F5" s="35" t="n"/>
      <c r="G5" s="35" t="n"/>
      <c r="H5" s="35" t="n"/>
      <c r="I5" s="35" t="n"/>
      <c r="J5" s="35" t="n"/>
      <c r="K5" s="35" t="n"/>
      <c r="L5" s="35" t="n"/>
      <c r="M5" s="35" t="n"/>
      <c r="N5" s="35" t="n"/>
      <c r="O5" s="35" t="n"/>
      <c r="P5" s="35" t="n"/>
      <c r="Q5" s="35" t="n"/>
      <c r="R5" s="35" t="n"/>
      <c r="S5" s="35" t="n"/>
      <c r="T5" s="35" t="n"/>
      <c r="U5" s="35" t="n"/>
      <c r="V5" s="35" t="n"/>
      <c r="W5" s="35" t="n"/>
      <c r="X5" s="35" t="n"/>
      <c r="Y5" s="35" t="n"/>
      <c r="Z5" s="35" t="n"/>
      <c r="AA5" s="35" t="n"/>
      <c r="AB5" s="35" t="n"/>
      <c r="AC5" s="35" t="n"/>
      <c r="AD5" s="35" t="n"/>
      <c r="AE5" s="35" t="n"/>
      <c r="AF5" s="35" t="n"/>
      <c r="AG5" s="35" t="n"/>
      <c r="AH5" s="35" t="n"/>
      <c r="AI5" s="35" t="n"/>
      <c r="AJ5" s="35" t="n"/>
      <c r="AK5" s="35" t="n"/>
      <c r="AL5" s="35" t="n"/>
      <c r="AM5" s="36" t="n"/>
      <c r="AP5" s="1" t="inlineStr">
        <is>
          <t>参数名称</t>
        </is>
      </c>
      <c r="AQ5" s="1" t="inlineStr">
        <is>
          <t>参数值</t>
        </is>
      </c>
    </row>
    <row r="6" ht="17" customHeight="1">
      <c r="A6" s="40" t="inlineStr">
        <is>
          <t>GDP增长率(%)</t>
        </is>
      </c>
      <c r="B6" s="7" t="inlineStr">
        <is>
          <t>国家统计局/IFS-CGE</t>
        </is>
      </c>
      <c r="C6" s="42" t="n">
        <v>4.9</v>
      </c>
      <c r="D6" s="42" t="n">
        <v>4.5</v>
      </c>
      <c r="E6" s="42" t="n">
        <v>4.3</v>
      </c>
      <c r="F6" s="42" t="n">
        <v>4.1</v>
      </c>
      <c r="G6" s="42" t="n">
        <v>3.9</v>
      </c>
      <c r="H6" s="42" t="n">
        <v>3.7</v>
      </c>
      <c r="I6" s="42" t="n">
        <v>3.5</v>
      </c>
      <c r="J6" s="42" t="n">
        <v>3.3</v>
      </c>
      <c r="K6" s="42" t="n">
        <v>3.1</v>
      </c>
      <c r="L6" s="42" t="n">
        <v>3</v>
      </c>
      <c r="M6" s="42" t="n">
        <v>2.8</v>
      </c>
      <c r="N6" s="42" t="n">
        <v>2.7</v>
      </c>
      <c r="O6" s="42" t="n">
        <v>2.5</v>
      </c>
      <c r="P6" s="42" t="n">
        <v>2.4</v>
      </c>
      <c r="Q6" s="42" t="n">
        <v>2.2</v>
      </c>
      <c r="R6" s="42" t="n">
        <v>2.1</v>
      </c>
      <c r="S6" s="42" t="n">
        <v>2</v>
      </c>
      <c r="T6" s="42" t="n">
        <v>1.8</v>
      </c>
      <c r="U6" s="42" t="n">
        <v>1.7</v>
      </c>
      <c r="V6" s="42" t="n">
        <v>1.6</v>
      </c>
      <c r="W6" s="42" t="n">
        <v>1.5</v>
      </c>
      <c r="X6" s="42" t="n">
        <v>1.5</v>
      </c>
      <c r="Y6" s="42" t="n">
        <v>1.3</v>
      </c>
      <c r="Z6" s="42" t="n">
        <v>1.2</v>
      </c>
      <c r="AA6" s="42" t="n">
        <v>1.1</v>
      </c>
      <c r="AB6" s="42" t="n">
        <v>1</v>
      </c>
      <c r="AC6" s="42" t="n">
        <v>1</v>
      </c>
      <c r="AD6" s="42" t="n">
        <v>0.8</v>
      </c>
      <c r="AE6" s="42" t="n">
        <v>0.7</v>
      </c>
      <c r="AF6" s="42" t="n">
        <v>0.6</v>
      </c>
      <c r="AG6" s="42" t="n">
        <v>0.6</v>
      </c>
      <c r="AH6" s="42" t="n">
        <v>0.5</v>
      </c>
      <c r="AI6" s="42" t="n">
        <v>0.4</v>
      </c>
      <c r="AJ6" s="42" t="n">
        <v>0.4</v>
      </c>
      <c r="AK6" s="42" t="n">
        <v>0.3</v>
      </c>
      <c r="AL6" s="42" t="n">
        <v>0.3</v>
      </c>
      <c r="AM6" s="42" t="n">
        <v>0.2</v>
      </c>
      <c r="AP6" s="37" t="inlineStr">
        <is>
          <t>基准年</t>
        </is>
      </c>
      <c r="AQ6" s="30" t="inlineStr">
        <is>
          <t>2024</t>
        </is>
      </c>
    </row>
    <row r="7" ht="17" customHeight="1">
      <c r="A7" s="40" t="inlineStr">
        <is>
          <t>实际GDP(2020价万亿)</t>
        </is>
      </c>
      <c r="B7" s="7" t="inlineStr">
        <is>
          <t>支出法GDP</t>
        </is>
      </c>
      <c r="C7" s="16" t="n">
        <v>124.92</v>
      </c>
      <c r="D7" s="16" t="n">
        <v>130.54</v>
      </c>
      <c r="E7" s="16" t="n">
        <v>135.627666872074</v>
      </c>
      <c r="F7" s="16" t="n">
        <v>140.913620508368</v>
      </c>
      <c r="G7" s="16" t="n">
        <v>146.405588938615</v>
      </c>
      <c r="H7" s="16" t="n">
        <v>152.111601384834</v>
      </c>
      <c r="I7" s="16" t="n">
        <v>158.04</v>
      </c>
      <c r="J7" s="16" t="n">
        <v>162.748904063458</v>
      </c>
      <c r="K7" s="16" t="n">
        <v>167.598112970493</v>
      </c>
      <c r="L7" s="16" t="n">
        <v>172.591807194706</v>
      </c>
      <c r="M7" s="16" t="n">
        <v>177.734291769616</v>
      </c>
      <c r="N7" s="16" t="n">
        <v>183.03</v>
      </c>
      <c r="O7" s="16" t="n">
        <v>187.130140285199</v>
      </c>
      <c r="P7" s="16" t="n">
        <v>191.322129722769</v>
      </c>
      <c r="Q7" s="16" t="n">
        <v>195.608025868354</v>
      </c>
      <c r="R7" s="16" t="n">
        <v>199.989932369863</v>
      </c>
      <c r="S7" s="16" t="n">
        <v>204.47</v>
      </c>
      <c r="T7" s="16" t="n">
        <v>207.272656009724</v>
      </c>
      <c r="U7" s="16" t="n">
        <v>210.113727829635</v>
      </c>
      <c r="V7" s="16" t="n">
        <v>212.993742022559</v>
      </c>
      <c r="W7" s="16" t="n">
        <v>215.913232368884</v>
      </c>
      <c r="X7" s="16" t="n">
        <v>218.872739965488</v>
      </c>
      <c r="Y7" s="16" t="n">
        <v>221.872813326025</v>
      </c>
      <c r="Z7" s="16" t="n">
        <v>224.914008482589</v>
      </c>
      <c r="AA7" s="16" t="n">
        <v>227.996889088765</v>
      </c>
      <c r="AB7" s="16" t="n">
        <v>231.1220265241</v>
      </c>
      <c r="AC7" s="16" t="n">
        <v>234.29</v>
      </c>
      <c r="AD7" s="16" t="n">
        <v>235.41536136499</v>
      </c>
      <c r="AE7" s="16" t="n">
        <v>236.546128160009</v>
      </c>
      <c r="AF7" s="16" t="n">
        <v>237.682326348874</v>
      </c>
      <c r="AG7" s="16" t="n">
        <v>238.82398202011</v>
      </c>
      <c r="AH7" s="16" t="n">
        <v>239.971121387554</v>
      </c>
      <c r="AI7" s="16" t="n">
        <v>241.123770790954</v>
      </c>
      <c r="AJ7" s="16" t="n">
        <v>242.281956696579</v>
      </c>
      <c r="AK7" s="16" t="n">
        <v>243.445705697818</v>
      </c>
      <c r="AL7" s="16" t="n">
        <v>244.6150445158</v>
      </c>
      <c r="AM7" s="16" t="n">
        <v>245.79</v>
      </c>
      <c r="AP7" s="37" t="inlineStr">
        <is>
          <t>粗钢产量(万吨)</t>
        </is>
      </c>
      <c r="AQ7" s="30" t="inlineStr">
        <is>
          <t>100,509</t>
        </is>
      </c>
    </row>
    <row r="8" ht="17" customHeight="1">
      <c r="A8" s="40" t="inlineStr">
        <is>
          <t>人口(亿人)</t>
        </is>
      </c>
      <c r="B8" s="7" t="inlineStr">
        <is>
          <t>联合国中位预测</t>
        </is>
      </c>
      <c r="C8" s="16" t="n">
        <v>14.08</v>
      </c>
      <c r="D8" s="16" t="n">
        <v>14.08</v>
      </c>
      <c r="E8" s="16" t="n">
        <v>14.0539034418663</v>
      </c>
      <c r="F8" s="16" t="n">
        <v>14.0278552523652</v>
      </c>
      <c r="G8" s="16" t="n">
        <v>14.0018553418479</v>
      </c>
      <c r="H8" s="16" t="n">
        <v>13.9759036208318</v>
      </c>
      <c r="I8" s="16" t="n">
        <v>13.95</v>
      </c>
      <c r="J8" s="16" t="n">
        <v>13.9097686160443</v>
      </c>
      <c r="K8" s="16" t="n">
        <v>13.8696532582</v>
      </c>
      <c r="L8" s="16" t="n">
        <v>13.8296535918514</v>
      </c>
      <c r="M8" s="16" t="n">
        <v>13.7897692833476</v>
      </c>
      <c r="N8" s="16" t="n">
        <v>13.75</v>
      </c>
      <c r="O8" s="16" t="n">
        <v>13.6996323454979</v>
      </c>
      <c r="P8" s="16" t="n">
        <v>13.6494491928591</v>
      </c>
      <c r="Q8" s="16" t="n">
        <v>13.5994498662344</v>
      </c>
      <c r="R8" s="16" t="n">
        <v>13.5496336922503</v>
      </c>
      <c r="S8" s="16" t="n">
        <v>13.5</v>
      </c>
      <c r="T8" s="16" t="n">
        <v>13.434592209784</v>
      </c>
      <c r="U8" s="16" t="n">
        <v>13.3695013217176</v>
      </c>
      <c r="V8" s="16" t="n">
        <v>13.3047258004033</v>
      </c>
      <c r="W8" s="16" t="n">
        <v>13.2402641178822</v>
      </c>
      <c r="X8" s="16" t="n">
        <v>13.1761147535987</v>
      </c>
      <c r="Y8" s="16" t="n">
        <v>13.1122761943641</v>
      </c>
      <c r="Z8" s="16" t="n">
        <v>13.0487469343215</v>
      </c>
      <c r="AA8" s="16" t="n">
        <v>12.9855254749095</v>
      </c>
      <c r="AB8" s="16" t="n">
        <v>12.9226103248274</v>
      </c>
      <c r="AC8" s="16" t="n">
        <v>12.86</v>
      </c>
      <c r="AD8" s="16" t="n">
        <v>12.7829557644941</v>
      </c>
      <c r="AE8" s="16" t="n">
        <v>12.7063731008563</v>
      </c>
      <c r="AF8" s="16" t="n">
        <v>12.6302492438105</v>
      </c>
      <c r="AG8" s="16" t="n">
        <v>12.5545814446473</v>
      </c>
      <c r="AH8" s="16" t="n">
        <v>12.4793669711248</v>
      </c>
      <c r="AI8" s="16" t="n">
        <v>12.4046031073698</v>
      </c>
      <c r="AJ8" s="16" t="n">
        <v>12.3302871537803</v>
      </c>
      <c r="AK8" s="16" t="n">
        <v>12.2564164269271</v>
      </c>
      <c r="AL8" s="16" t="n">
        <v>12.1829882594578</v>
      </c>
      <c r="AM8" s="16" t="n">
        <v>12.11</v>
      </c>
      <c r="AP8" s="37" t="inlineStr">
        <is>
          <t>碳排放总量(万吨CO2)</t>
        </is>
      </c>
      <c r="AQ8" s="30" t="inlineStr">
        <is>
          <t>195,992</t>
        </is>
      </c>
    </row>
    <row r="9" ht="17" customHeight="1">
      <c r="A9" s="40" t="inlineStr">
        <is>
          <t>全国CO2排放(亿吨)</t>
        </is>
      </c>
      <c r="B9" s="7" t="inlineStr">
        <is>
          <t>IFS-CGE模型</t>
        </is>
      </c>
      <c r="C9" s="16" t="n">
        <v>106.5</v>
      </c>
      <c r="D9" s="16" t="n">
        <v>108</v>
      </c>
      <c r="E9" s="16" t="n">
        <v>110</v>
      </c>
      <c r="F9" s="16" t="n">
        <v>112</v>
      </c>
      <c r="G9" s="16" t="n">
        <v>115</v>
      </c>
      <c r="H9" s="16" t="n">
        <v>117</v>
      </c>
      <c r="I9" s="16" t="n">
        <v>118</v>
      </c>
      <c r="J9" s="16" t="n">
        <v>117</v>
      </c>
      <c r="K9" s="16" t="n">
        <v>115.5</v>
      </c>
      <c r="L9" s="16" t="n">
        <v>113.5</v>
      </c>
      <c r="M9" s="16" t="n">
        <v>111</v>
      </c>
      <c r="N9" s="16" t="n">
        <v>109</v>
      </c>
      <c r="O9" s="16" t="n">
        <v>106.5</v>
      </c>
      <c r="P9" s="16" t="n">
        <v>103.5</v>
      </c>
      <c r="Q9" s="16" t="n">
        <v>100</v>
      </c>
      <c r="R9" s="16" t="n">
        <v>96</v>
      </c>
      <c r="S9" s="16" t="n">
        <v>92</v>
      </c>
      <c r="T9" s="16" t="n">
        <v>87.5</v>
      </c>
      <c r="U9" s="16" t="n">
        <v>83</v>
      </c>
      <c r="V9" s="16" t="n">
        <v>78.5</v>
      </c>
      <c r="W9" s="16" t="n">
        <v>74</v>
      </c>
      <c r="X9" s="16" t="n">
        <v>69.5</v>
      </c>
      <c r="Y9" s="16" t="n">
        <v>65</v>
      </c>
      <c r="Z9" s="16" t="n">
        <v>60.5</v>
      </c>
      <c r="AA9" s="16" t="n">
        <v>56</v>
      </c>
      <c r="AB9" s="16" t="n">
        <v>51.5</v>
      </c>
      <c r="AC9" s="16" t="n">
        <v>47</v>
      </c>
      <c r="AD9" s="16" t="n">
        <v>43</v>
      </c>
      <c r="AE9" s="16" t="n">
        <v>39</v>
      </c>
      <c r="AF9" s="16" t="n">
        <v>35.5</v>
      </c>
      <c r="AG9" s="16" t="n">
        <v>32</v>
      </c>
      <c r="AH9" s="16" t="n">
        <v>29</v>
      </c>
      <c r="AI9" s="16" t="n">
        <v>26.5</v>
      </c>
      <c r="AJ9" s="16" t="n">
        <v>24.5</v>
      </c>
      <c r="AK9" s="16" t="n">
        <v>23</v>
      </c>
      <c r="AL9" s="16" t="n">
        <v>22</v>
      </c>
      <c r="AM9" s="16" t="n">
        <v>21</v>
      </c>
      <c r="AP9" s="37" t="inlineStr">
        <is>
          <t>吨钢碳排放强度(tCO2/t)</t>
        </is>
      </c>
      <c r="AQ9" s="30" t="inlineStr">
        <is>
          <t>1.95</t>
        </is>
      </c>
    </row>
    <row r="10" ht="28" customHeight="1">
      <c r="A10" s="40" t="inlineStr">
        <is>
          <t>吨钢综合能耗(kgce/t)</t>
        </is>
      </c>
      <c r="B10" s="7" t="inlineStr">
        <is>
          <t>2025+1.9%: 产品结构调整+超低排放+入炉矿品位下降</t>
        </is>
      </c>
      <c r="C10" s="17" t="n">
        <v>1.85</v>
      </c>
      <c r="D10" s="17" t="n">
        <v>1.88515</v>
      </c>
      <c r="E10" s="17" t="n">
        <v>1.87572425</v>
      </c>
      <c r="F10" s="17" t="n">
        <v>1.860718456</v>
      </c>
      <c r="G10" s="17" t="n">
        <v>1.84211127144</v>
      </c>
      <c r="H10" s="17" t="n">
        <v>1.82000593618272</v>
      </c>
      <c r="I10" s="17" t="n">
        <v>1.79270584713998</v>
      </c>
      <c r="J10" s="17" t="n">
        <v>1.76581525943288</v>
      </c>
      <c r="K10" s="17" t="n">
        <v>1.73932803054139</v>
      </c>
      <c r="L10" s="17" t="n">
        <v>1.71323811008326</v>
      </c>
      <c r="M10" s="17" t="n">
        <v>1.68753953843202</v>
      </c>
      <c r="N10" s="17" t="n">
        <v>1.66222644535554</v>
      </c>
      <c r="O10" s="17" t="n">
        <v>1.64227972801127</v>
      </c>
      <c r="P10" s="17" t="n">
        <v>1.62257237127513</v>
      </c>
      <c r="Q10" s="17" t="n">
        <v>1.60310150281983</v>
      </c>
      <c r="R10" s="17" t="n">
        <v>1.58386428478599</v>
      </c>
      <c r="S10" s="17" t="n">
        <v>1.56802564193814</v>
      </c>
      <c r="T10" s="17" t="n">
        <v>1.55234538551875</v>
      </c>
      <c r="U10" s="17" t="n">
        <v>1.53682193166357</v>
      </c>
      <c r="V10" s="17" t="n">
        <v>1.52145371234693</v>
      </c>
      <c r="W10" s="17" t="n">
        <v>1.50928208264815</v>
      </c>
      <c r="X10" s="17" t="n">
        <v>1.49720782598697</v>
      </c>
      <c r="Y10" s="17" t="n">
        <v>1.48523016337907</v>
      </c>
      <c r="Z10" s="17" t="n">
        <v>1.47334832207204</v>
      </c>
      <c r="AA10" s="17" t="n">
        <v>1.46450823213961</v>
      </c>
      <c r="AB10" s="17" t="n">
        <v>1.45572118274677</v>
      </c>
      <c r="AC10" s="17" t="n">
        <v>1.44698685565029</v>
      </c>
      <c r="AD10" s="17" t="n">
        <v>1.43975192137204</v>
      </c>
      <c r="AE10" s="17" t="n">
        <v>1.43255316176518</v>
      </c>
      <c r="AF10" s="17" t="n">
        <v>1.42539039595635</v>
      </c>
      <c r="AG10" s="17" t="n">
        <v>1.41826344397657</v>
      </c>
      <c r="AH10" s="17" t="n">
        <v>1.41259039020066</v>
      </c>
      <c r="AI10" s="17" t="n">
        <v>1.40694002863986</v>
      </c>
      <c r="AJ10" s="17" t="n">
        <v>1.4013122685253</v>
      </c>
      <c r="AK10" s="17" t="n">
        <v>1.39710833171973</v>
      </c>
      <c r="AL10" s="17" t="n">
        <v>1.39291700672457</v>
      </c>
      <c r="AM10" s="17" t="n">
        <v>1.38873825570439</v>
      </c>
    </row>
    <row r="11" ht="17" customHeight="1">
      <c r="A11" s="2" t="inlineStr">
        <is>
          <t>吨钢综合能耗同比变化(%)</t>
        </is>
      </c>
      <c r="B11" s="7" t="inlineStr">
        <is>
          <t>国家统计局/中钢协数据</t>
        </is>
      </c>
      <c r="C11" s="42" t="n">
        <v>0</v>
      </c>
      <c r="D11" s="42" t="n">
        <v>1.9</v>
      </c>
      <c r="E11" s="42" t="n">
        <v>-0.5</v>
      </c>
      <c r="F11" s="42" t="n">
        <v>-0.8</v>
      </c>
      <c r="G11" s="42" t="n">
        <v>-1</v>
      </c>
      <c r="H11" s="42" t="n">
        <v>-1.2</v>
      </c>
      <c r="I11" s="42" t="n">
        <v>-1.5</v>
      </c>
      <c r="J11" s="42" t="n">
        <v>-1.5</v>
      </c>
      <c r="K11" s="42" t="n">
        <v>-1.5</v>
      </c>
      <c r="L11" s="42" t="n">
        <v>-1.5</v>
      </c>
      <c r="M11" s="42" t="n">
        <v>-1.5</v>
      </c>
      <c r="N11" s="42" t="n">
        <v>-1.5</v>
      </c>
      <c r="O11" s="42" t="n">
        <v>-1.2</v>
      </c>
      <c r="P11" s="42" t="n">
        <v>-1.2</v>
      </c>
      <c r="Q11" s="42" t="n">
        <v>-1.2</v>
      </c>
      <c r="R11" s="42" t="n">
        <v>-1.2</v>
      </c>
      <c r="S11" s="42" t="n">
        <v>-1</v>
      </c>
      <c r="T11" s="42" t="n">
        <v>-1</v>
      </c>
      <c r="U11" s="42" t="n">
        <v>-1</v>
      </c>
      <c r="V11" s="42" t="n">
        <v>-1</v>
      </c>
      <c r="W11" s="42" t="n">
        <v>-0.8</v>
      </c>
      <c r="X11" s="42" t="n">
        <v>-0.8</v>
      </c>
      <c r="Y11" s="42" t="n">
        <v>-0.8</v>
      </c>
      <c r="Z11" s="42" t="n">
        <v>-0.8</v>
      </c>
      <c r="AA11" s="42" t="n">
        <v>-0.6</v>
      </c>
      <c r="AB11" s="42" t="n">
        <v>-0.6</v>
      </c>
      <c r="AC11" s="42" t="n">
        <v>-0.6</v>
      </c>
      <c r="AD11" s="42" t="n">
        <v>-0.5</v>
      </c>
      <c r="AE11" s="42" t="n">
        <v>-0.5</v>
      </c>
      <c r="AF11" s="42" t="n">
        <v>-0.5</v>
      </c>
      <c r="AG11" s="42" t="n">
        <v>-0.5</v>
      </c>
      <c r="AH11" s="42" t="n">
        <v>-0.4</v>
      </c>
      <c r="AI11" s="42" t="n">
        <v>-0.4</v>
      </c>
      <c r="AJ11" s="42" t="n">
        <v>-0.4</v>
      </c>
      <c r="AK11" s="42" t="n">
        <v>-0.3</v>
      </c>
      <c r="AL11" s="42" t="n">
        <v>-0.3</v>
      </c>
      <c r="AM11" s="42" t="n">
        <v>-0.3</v>
      </c>
      <c r="AP11" s="40" t="inlineStr">
        <is>
          <t>---工艺参数---</t>
        </is>
      </c>
      <c r="AQ11" s="36" t="n"/>
    </row>
    <row r="12" ht="17.5" customHeight="1">
      <c r="A12" s="34" t="inlineStr">
        <is>
          <t>Step 3: 粗钢产量(万吨)</t>
        </is>
      </c>
      <c r="B12" s="35" t="n"/>
      <c r="C12" s="35" t="n"/>
      <c r="D12" s="35" t="n"/>
      <c r="E12" s="35" t="n"/>
      <c r="F12" s="35" t="n"/>
      <c r="G12" s="35" t="n"/>
      <c r="H12" s="35" t="n"/>
      <c r="I12" s="35" t="n"/>
      <c r="J12" s="35" t="n"/>
      <c r="K12" s="35" t="n"/>
      <c r="L12" s="35" t="n"/>
      <c r="M12" s="35" t="n"/>
      <c r="N12" s="35" t="n"/>
      <c r="O12" s="35" t="n"/>
      <c r="P12" s="35" t="n"/>
      <c r="Q12" s="35" t="n"/>
      <c r="R12" s="35" t="n"/>
      <c r="S12" s="35" t="n"/>
      <c r="T12" s="35" t="n"/>
      <c r="U12" s="35" t="n"/>
      <c r="V12" s="35" t="n"/>
      <c r="W12" s="35" t="n"/>
      <c r="X12" s="35" t="n"/>
      <c r="Y12" s="35" t="n"/>
      <c r="Z12" s="35" t="n"/>
      <c r="AA12" s="35" t="n"/>
      <c r="AB12" s="35" t="n"/>
      <c r="AC12" s="35" t="n"/>
      <c r="AD12" s="35" t="n"/>
      <c r="AE12" s="35" t="n"/>
      <c r="AF12" s="35" t="n"/>
      <c r="AG12" s="35" t="n"/>
      <c r="AH12" s="35" t="n"/>
      <c r="AI12" s="35" t="n"/>
      <c r="AJ12" s="35" t="n"/>
      <c r="AK12" s="35" t="n"/>
      <c r="AL12" s="35" t="n"/>
      <c r="AM12" s="36" t="n"/>
      <c r="AP12" s="37" t="inlineStr">
        <is>
          <t>长流程产量占比(%)</t>
        </is>
      </c>
      <c r="AQ12" s="30" t="inlineStr">
        <is>
          <t>89</t>
        </is>
      </c>
    </row>
    <row r="13" ht="17" customHeight="1">
      <c r="A13" s="40" t="inlineStr">
        <is>
          <t>粗钢产量(万吨)</t>
        </is>
      </c>
      <c r="B13" s="7" t="inlineStr">
        <is>
          <t>CAGR插值(三情景共用)</t>
        </is>
      </c>
      <c r="C13" s="18" t="n">
        <v>100509</v>
      </c>
      <c r="D13" s="18" t="n">
        <v>96081</v>
      </c>
      <c r="E13" s="18" t="n">
        <v>95000</v>
      </c>
      <c r="F13" s="18" t="n">
        <v>94000</v>
      </c>
      <c r="G13" s="18" t="n">
        <v>93000</v>
      </c>
      <c r="H13" s="18" t="n">
        <v>92000</v>
      </c>
      <c r="I13" s="18" t="n">
        <v>91000</v>
      </c>
      <c r="J13" s="18" t="n">
        <v>90000</v>
      </c>
      <c r="K13" s="18" t="n">
        <v>89000</v>
      </c>
      <c r="L13" s="18" t="n">
        <v>87800</v>
      </c>
      <c r="M13" s="18" t="n">
        <v>86600</v>
      </c>
      <c r="N13" s="18" t="n">
        <v>85500</v>
      </c>
      <c r="O13" s="18" t="n">
        <v>84800</v>
      </c>
      <c r="P13" s="18" t="n">
        <v>84200</v>
      </c>
      <c r="Q13" s="18" t="n">
        <v>83600</v>
      </c>
      <c r="R13" s="18" t="n">
        <v>83100</v>
      </c>
      <c r="S13" s="18" t="n">
        <v>82600</v>
      </c>
      <c r="T13" s="18" t="n">
        <v>82200</v>
      </c>
      <c r="U13" s="18" t="n">
        <v>81800</v>
      </c>
      <c r="V13" s="18" t="n">
        <v>81500</v>
      </c>
      <c r="W13" s="18" t="n">
        <v>81200</v>
      </c>
      <c r="X13" s="18" t="n">
        <v>80900</v>
      </c>
      <c r="Y13" s="18" t="n">
        <v>80600</v>
      </c>
      <c r="Z13" s="18" t="n">
        <v>80300</v>
      </c>
      <c r="AA13" s="18" t="n">
        <v>79800</v>
      </c>
      <c r="AB13" s="18" t="n">
        <v>79200</v>
      </c>
      <c r="AC13" s="18" t="n">
        <v>78500</v>
      </c>
      <c r="AD13" s="18" t="n">
        <v>77900</v>
      </c>
      <c r="AE13" s="18" t="n">
        <v>77300</v>
      </c>
      <c r="AF13" s="18" t="n">
        <v>76700</v>
      </c>
      <c r="AG13" s="18" t="n">
        <v>76100</v>
      </c>
      <c r="AH13" s="18" t="n">
        <v>75500</v>
      </c>
      <c r="AI13" s="18" t="n">
        <v>75000</v>
      </c>
      <c r="AJ13" s="18" t="n">
        <v>74500</v>
      </c>
      <c r="AK13" s="18" t="n">
        <v>74000</v>
      </c>
      <c r="AL13" s="18" t="n">
        <v>73500</v>
      </c>
      <c r="AM13" s="18" t="n">
        <v>73100</v>
      </c>
      <c r="AP13" s="37" t="inlineStr">
        <is>
          <t>短流程产量占比(%)</t>
        </is>
      </c>
      <c r="AQ13" s="30" t="inlineStr">
        <is>
          <t>10</t>
        </is>
      </c>
    </row>
    <row r="14" ht="17.5" customHeight="1">
      <c r="A14" s="34" t="inlineStr">
        <is>
          <t>Step 4: 流程结构</t>
        </is>
      </c>
      <c r="B14" s="35" t="n"/>
      <c r="C14" s="35" t="n"/>
      <c r="D14" s="35" t="n"/>
      <c r="E14" s="35" t="n"/>
      <c r="F14" s="35" t="n"/>
      <c r="G14" s="35" t="n"/>
      <c r="H14" s="35" t="n"/>
      <c r="I14" s="35" t="n"/>
      <c r="J14" s="35" t="n"/>
      <c r="K14" s="35" t="n"/>
      <c r="L14" s="35" t="n"/>
      <c r="M14" s="35" t="n"/>
      <c r="N14" s="35" t="n"/>
      <c r="O14" s="35" t="n"/>
      <c r="P14" s="35" t="n"/>
      <c r="Q14" s="35" t="n"/>
      <c r="R14" s="35" t="n"/>
      <c r="S14" s="35" t="n"/>
      <c r="T14" s="35" t="n"/>
      <c r="U14" s="35" t="n"/>
      <c r="V14" s="35" t="n"/>
      <c r="W14" s="35" t="n"/>
      <c r="X14" s="35" t="n"/>
      <c r="Y14" s="35" t="n"/>
      <c r="Z14" s="35" t="n"/>
      <c r="AA14" s="35" t="n"/>
      <c r="AB14" s="35" t="n"/>
      <c r="AC14" s="35" t="n"/>
      <c r="AD14" s="35" t="n"/>
      <c r="AE14" s="35" t="n"/>
      <c r="AF14" s="35" t="n"/>
      <c r="AG14" s="35" t="n"/>
      <c r="AH14" s="35" t="n"/>
      <c r="AI14" s="35" t="n"/>
      <c r="AJ14" s="35" t="n"/>
      <c r="AK14" s="35" t="n"/>
      <c r="AL14" s="35" t="n"/>
      <c r="AM14" s="36" t="n"/>
      <c r="AP14" s="37" t="inlineStr">
        <is>
          <t>氢冶金产量占比(%)</t>
        </is>
      </c>
      <c r="AQ14" s="30" t="inlineStr">
        <is>
          <t>1</t>
        </is>
      </c>
    </row>
    <row r="15" ht="17" customHeight="1">
      <c r="A15" s="40" t="inlineStr">
        <is>
          <t>短流程产量占比(%)</t>
        </is>
      </c>
      <c r="B15" s="7" t="inlineStr">
        <is>
          <t>二分法校准</t>
        </is>
      </c>
      <c r="C15" s="42" t="n">
        <v>10</v>
      </c>
      <c r="D15" s="42" t="n">
        <v>10.08333333333333</v>
      </c>
      <c r="E15" s="42" t="n">
        <v>10.16666666666667</v>
      </c>
      <c r="F15" s="42" t="n">
        <v>10.25</v>
      </c>
      <c r="G15" s="42" t="n">
        <v>10.33333333333333</v>
      </c>
      <c r="H15" s="42" t="n">
        <v>10.41666666666667</v>
      </c>
      <c r="I15" s="42" t="n">
        <v>10.5</v>
      </c>
      <c r="J15" s="42" t="n">
        <v>10.8</v>
      </c>
      <c r="K15" s="42" t="n">
        <v>11.1</v>
      </c>
      <c r="L15" s="42" t="n">
        <v>11.4</v>
      </c>
      <c r="M15" s="42" t="n">
        <v>11.7</v>
      </c>
      <c r="N15" s="42" t="n">
        <v>12</v>
      </c>
      <c r="O15" s="42" t="n">
        <v>12.8</v>
      </c>
      <c r="P15" s="42" t="n">
        <v>13.6</v>
      </c>
      <c r="Q15" s="42" t="n">
        <v>14.4</v>
      </c>
      <c r="R15" s="42" t="n">
        <v>15.2</v>
      </c>
      <c r="S15" s="42" t="n">
        <v>16</v>
      </c>
      <c r="T15" s="42" t="n">
        <v>16.8</v>
      </c>
      <c r="U15" s="42" t="n">
        <v>17.6</v>
      </c>
      <c r="V15" s="42" t="n">
        <v>18.4</v>
      </c>
      <c r="W15" s="42" t="n">
        <v>19.2</v>
      </c>
      <c r="X15" s="42" t="n">
        <v>20</v>
      </c>
      <c r="Y15" s="42" t="n">
        <v>20.8</v>
      </c>
      <c r="Z15" s="42" t="n">
        <v>21.6</v>
      </c>
      <c r="AA15" s="42" t="n">
        <v>22.4</v>
      </c>
      <c r="AB15" s="42" t="n">
        <v>23.2</v>
      </c>
      <c r="AC15" s="42" t="n">
        <v>24</v>
      </c>
      <c r="AD15" s="42" t="n">
        <v>25</v>
      </c>
      <c r="AE15" s="42" t="n">
        <v>26</v>
      </c>
      <c r="AF15" s="42" t="n">
        <v>27</v>
      </c>
      <c r="AG15" s="42" t="n">
        <v>28</v>
      </c>
      <c r="AH15" s="42" t="n">
        <v>29</v>
      </c>
      <c r="AI15" s="42" t="n">
        <v>30</v>
      </c>
      <c r="AJ15" s="42" t="n">
        <v>31</v>
      </c>
      <c r="AK15" s="42" t="n">
        <v>32</v>
      </c>
      <c r="AL15" s="42" t="n">
        <v>33</v>
      </c>
      <c r="AM15" s="42" t="n">
        <v>34</v>
      </c>
    </row>
    <row r="16" ht="17" customHeight="1">
      <c r="A16" s="40" t="inlineStr">
        <is>
          <t>氢冶金产量占比(%)</t>
        </is>
      </c>
      <c r="B16" s="7" t="inlineStr">
        <is>
          <t>情景差异化</t>
        </is>
      </c>
      <c r="C16" s="17" t="n">
        <v>1</v>
      </c>
      <c r="D16" s="17" t="n">
        <v>1.083333333333333</v>
      </c>
      <c r="E16" s="17" t="n">
        <v>1.166666666666667</v>
      </c>
      <c r="F16" s="17" t="n">
        <v>1.25</v>
      </c>
      <c r="G16" s="17" t="n">
        <v>1.333333333333333</v>
      </c>
      <c r="H16" s="17" t="n">
        <v>1.416666666666667</v>
      </c>
      <c r="I16" s="17" t="n">
        <v>1.5</v>
      </c>
      <c r="J16" s="17" t="n">
        <v>1.7</v>
      </c>
      <c r="K16" s="17" t="n">
        <v>1.9</v>
      </c>
      <c r="L16" s="17" t="n">
        <v>2.1</v>
      </c>
      <c r="M16" s="17" t="n">
        <v>2.3</v>
      </c>
      <c r="N16" s="17" t="n">
        <v>2.5</v>
      </c>
      <c r="O16" s="17" t="n">
        <v>2.8</v>
      </c>
      <c r="P16" s="17" t="n">
        <v>3.1</v>
      </c>
      <c r="Q16" s="17" t="n">
        <v>3.4</v>
      </c>
      <c r="R16" s="17" t="n">
        <v>3.7</v>
      </c>
      <c r="S16" s="17" t="n">
        <v>4</v>
      </c>
      <c r="T16" s="17" t="n">
        <v>4.4</v>
      </c>
      <c r="U16" s="17" t="n">
        <v>4.8</v>
      </c>
      <c r="V16" s="17" t="n">
        <v>5.2</v>
      </c>
      <c r="W16" s="17" t="n">
        <v>5.6</v>
      </c>
      <c r="X16" s="17" t="n">
        <v>6</v>
      </c>
      <c r="Y16" s="17" t="n">
        <v>6.4</v>
      </c>
      <c r="Z16" s="17" t="n">
        <v>6.8</v>
      </c>
      <c r="AA16" s="17" t="n">
        <v>7.2</v>
      </c>
      <c r="AB16" s="17" t="n">
        <v>7.6</v>
      </c>
      <c r="AC16" s="17" t="n">
        <v>8</v>
      </c>
      <c r="AD16" s="17" t="n">
        <v>8.4</v>
      </c>
      <c r="AE16" s="17" t="n">
        <v>8.800000000000001</v>
      </c>
      <c r="AF16" s="17" t="n">
        <v>9.199999999999999</v>
      </c>
      <c r="AG16" s="17" t="n">
        <v>9.6</v>
      </c>
      <c r="AH16" s="17" t="n">
        <v>10</v>
      </c>
      <c r="AI16" s="17" t="n">
        <v>10.4</v>
      </c>
      <c r="AJ16" s="17" t="n">
        <v>10.8</v>
      </c>
      <c r="AK16" s="17" t="n">
        <v>11.2</v>
      </c>
      <c r="AL16" s="17" t="n">
        <v>11.6</v>
      </c>
      <c r="AM16" s="17" t="n">
        <v>12</v>
      </c>
      <c r="AP16" s="37" t="inlineStr">
        <is>
          <t>吨钢耗废钢量</t>
        </is>
      </c>
      <c r="AQ16" s="30" t="inlineStr">
        <is>
          <t>1.1</t>
        </is>
      </c>
    </row>
    <row r="17" ht="17" customHeight="1">
      <c r="A17" s="40" t="inlineStr">
        <is>
          <t>长流程产量占比(%)</t>
        </is>
      </c>
      <c r="B17" s="7">
        <f>1-短流程%-氢冶金%</f>
        <v/>
      </c>
      <c r="C17" s="43">
        <f>1-C15/100-C16/100</f>
        <v/>
      </c>
      <c r="D17" s="43">
        <f>1-D15/100-D16/100</f>
        <v/>
      </c>
      <c r="E17" s="43">
        <f>1-E15/100-E16/100</f>
        <v/>
      </c>
      <c r="F17" s="43">
        <f>1-F15/100-F16/100</f>
        <v/>
      </c>
      <c r="G17" s="43">
        <f>1-G15/100-G16/100</f>
        <v/>
      </c>
      <c r="H17" s="43">
        <f>1-H15/100-H16/100</f>
        <v/>
      </c>
      <c r="I17" s="43">
        <f>1-I15/100-I16/100</f>
        <v/>
      </c>
      <c r="J17" s="43">
        <f>1-J15/100-J16/100</f>
        <v/>
      </c>
      <c r="K17" s="43">
        <f>1-K15/100-K16/100</f>
        <v/>
      </c>
      <c r="L17" s="43">
        <f>1-L15/100-L16/100</f>
        <v/>
      </c>
      <c r="M17" s="43">
        <f>1-M15/100-M16/100</f>
        <v/>
      </c>
      <c r="N17" s="43">
        <f>1-N15/100-N16/100</f>
        <v/>
      </c>
      <c r="O17" s="43">
        <f>1-O15/100-O16/100</f>
        <v/>
      </c>
      <c r="P17" s="43">
        <f>1-P15/100-P16/100</f>
        <v/>
      </c>
      <c r="Q17" s="43">
        <f>1-Q15/100-Q16/100</f>
        <v/>
      </c>
      <c r="R17" s="43">
        <f>1-R15/100-R16/100</f>
        <v/>
      </c>
      <c r="S17" s="43">
        <f>1-S15/100-S16/100</f>
        <v/>
      </c>
      <c r="T17" s="43">
        <f>1-T15/100-T16/100</f>
        <v/>
      </c>
      <c r="U17" s="43">
        <f>1-U15/100-U16/100</f>
        <v/>
      </c>
      <c r="V17" s="43">
        <f>1-V15/100-V16/100</f>
        <v/>
      </c>
      <c r="W17" s="43">
        <f>1-W15/100-W16/100</f>
        <v/>
      </c>
      <c r="X17" s="43">
        <f>1-X15/100-X16/100</f>
        <v/>
      </c>
      <c r="Y17" s="43">
        <f>1-Y15/100-Y16/100</f>
        <v/>
      </c>
      <c r="Z17" s="43">
        <f>1-Z15/100-Z16/100</f>
        <v/>
      </c>
      <c r="AA17" s="43">
        <f>1-AA15/100-AA16/100</f>
        <v/>
      </c>
      <c r="AB17" s="43">
        <f>1-AB15/100-AB16/100</f>
        <v/>
      </c>
      <c r="AC17" s="43">
        <f>1-AC15/100-AC16/100</f>
        <v/>
      </c>
      <c r="AD17" s="43">
        <f>1-AD15/100-AD16/100</f>
        <v/>
      </c>
      <c r="AE17" s="43">
        <f>1-AE15/100-AE16/100</f>
        <v/>
      </c>
      <c r="AF17" s="43">
        <f>1-AF15/100-AF16/100</f>
        <v/>
      </c>
      <c r="AG17" s="43">
        <f>1-AG15/100-AG16/100</f>
        <v/>
      </c>
      <c r="AH17" s="43">
        <f>1-AH15/100-AH16/100</f>
        <v/>
      </c>
      <c r="AI17" s="43">
        <f>1-AI15/100-AI16/100</f>
        <v/>
      </c>
      <c r="AJ17" s="43">
        <f>1-AJ15/100-AJ16/100</f>
        <v/>
      </c>
      <c r="AK17" s="43">
        <f>1-AK15/100-AK16/100</f>
        <v/>
      </c>
      <c r="AL17" s="43">
        <f>1-AL15/100-AL16/100</f>
        <v/>
      </c>
      <c r="AM17" s="43">
        <f>1-AM15/100-AM16/100</f>
        <v/>
      </c>
      <c r="AP17" s="37" t="inlineStr">
        <is>
          <t>吨钢耗铁水量</t>
        </is>
      </c>
      <c r="AQ17" s="30" t="inlineStr">
        <is>
          <t>1.053</t>
        </is>
      </c>
    </row>
    <row r="18" ht="17" customHeight="1">
      <c r="A18" s="2" t="inlineStr">
        <is>
          <t>长流程产量(万吨)</t>
        </is>
      </c>
      <c r="B18" s="7">
        <f>长流程产量公式</f>
        <v/>
      </c>
      <c r="C18" s="20">
        <f>C13*C17</f>
        <v/>
      </c>
      <c r="D18" s="20">
        <f>D13*D17</f>
        <v/>
      </c>
      <c r="E18" s="20">
        <f>E13*E17</f>
        <v/>
      </c>
      <c r="F18" s="20">
        <f>F13*F17</f>
        <v/>
      </c>
      <c r="G18" s="20">
        <f>G13*G17</f>
        <v/>
      </c>
      <c r="H18" s="20">
        <f>H13*H17</f>
        <v/>
      </c>
      <c r="I18" s="20">
        <f>I13*I17</f>
        <v/>
      </c>
      <c r="J18" s="20">
        <f>J13*J17</f>
        <v/>
      </c>
      <c r="K18" s="20">
        <f>K13*K17</f>
        <v/>
      </c>
      <c r="L18" s="20">
        <f>L13*L17</f>
        <v/>
      </c>
      <c r="M18" s="20">
        <f>M13*M17</f>
        <v/>
      </c>
      <c r="N18" s="20">
        <f>N13*N17</f>
        <v/>
      </c>
      <c r="O18" s="20">
        <f>O13*O17</f>
        <v/>
      </c>
      <c r="P18" s="20">
        <f>P13*P17</f>
        <v/>
      </c>
      <c r="Q18" s="20">
        <f>Q13*Q17</f>
        <v/>
      </c>
      <c r="R18" s="20">
        <f>R13*R17</f>
        <v/>
      </c>
      <c r="S18" s="20">
        <f>S13*S17</f>
        <v/>
      </c>
      <c r="T18" s="20">
        <f>T13*T17</f>
        <v/>
      </c>
      <c r="U18" s="20">
        <f>U13*U17</f>
        <v/>
      </c>
      <c r="V18" s="20">
        <f>V13*V17</f>
        <v/>
      </c>
      <c r="W18" s="20">
        <f>W13*W17</f>
        <v/>
      </c>
      <c r="X18" s="20">
        <f>X13*X17</f>
        <v/>
      </c>
      <c r="Y18" s="20">
        <f>Y13*Y17</f>
        <v/>
      </c>
      <c r="Z18" s="20">
        <f>Z13*Z17</f>
        <v/>
      </c>
      <c r="AA18" s="20">
        <f>AA13*AA17</f>
        <v/>
      </c>
      <c r="AB18" s="20">
        <f>AB13*AB17</f>
        <v/>
      </c>
      <c r="AC18" s="20">
        <f>AC13*AC17</f>
        <v/>
      </c>
      <c r="AD18" s="20">
        <f>AD13*AD17</f>
        <v/>
      </c>
      <c r="AE18" s="20">
        <f>AE13*AE17</f>
        <v/>
      </c>
      <c r="AF18" s="20">
        <f>AF13*AF17</f>
        <v/>
      </c>
      <c r="AG18" s="20">
        <f>AG13*AG17</f>
        <v/>
      </c>
      <c r="AH18" s="20">
        <f>AH13*AH17</f>
        <v/>
      </c>
      <c r="AI18" s="20">
        <f>AI13*AI17</f>
        <v/>
      </c>
      <c r="AJ18" s="20">
        <f>AJ13*AJ17</f>
        <v/>
      </c>
      <c r="AK18" s="20">
        <f>AK13*AK17</f>
        <v/>
      </c>
      <c r="AL18" s="20">
        <f>AL13*AL17</f>
        <v/>
      </c>
      <c r="AM18" s="20">
        <f>AM13*AM17</f>
        <v/>
      </c>
      <c r="AP18" s="37" t="inlineStr">
        <is>
          <t>吨铁水耗铁矿石量</t>
        </is>
      </c>
      <c r="AQ18" s="30" t="inlineStr">
        <is>
          <t>1.65</t>
        </is>
      </c>
    </row>
    <row r="19" ht="17" customHeight="1">
      <c r="A19" s="2" t="inlineStr">
        <is>
          <t>短流程产量(万吨)</t>
        </is>
      </c>
      <c r="B19" s="7">
        <f>短流程产量公式</f>
        <v/>
      </c>
      <c r="C19" s="20">
        <f>C13*C15/100</f>
        <v/>
      </c>
      <c r="D19" s="20">
        <f>D13*D15/100</f>
        <v/>
      </c>
      <c r="E19" s="20">
        <f>E13*E15/100</f>
        <v/>
      </c>
      <c r="F19" s="20">
        <f>F13*F15/100</f>
        <v/>
      </c>
      <c r="G19" s="20">
        <f>G13*G15/100</f>
        <v/>
      </c>
      <c r="H19" s="20">
        <f>H13*H15/100</f>
        <v/>
      </c>
      <c r="I19" s="20">
        <f>I13*I15/100</f>
        <v/>
      </c>
      <c r="J19" s="20">
        <f>J13*J15/100</f>
        <v/>
      </c>
      <c r="K19" s="20">
        <f>K13*K15/100</f>
        <v/>
      </c>
      <c r="L19" s="20">
        <f>L13*L15/100</f>
        <v/>
      </c>
      <c r="M19" s="20">
        <f>M13*M15/100</f>
        <v/>
      </c>
      <c r="N19" s="20">
        <f>N13*N15/100</f>
        <v/>
      </c>
      <c r="O19" s="20">
        <f>O13*O15/100</f>
        <v/>
      </c>
      <c r="P19" s="20">
        <f>P13*P15/100</f>
        <v/>
      </c>
      <c r="Q19" s="20">
        <f>Q13*Q15/100</f>
        <v/>
      </c>
      <c r="R19" s="20">
        <f>R13*R15/100</f>
        <v/>
      </c>
      <c r="S19" s="20">
        <f>S13*S15/100</f>
        <v/>
      </c>
      <c r="T19" s="20">
        <f>T13*T15/100</f>
        <v/>
      </c>
      <c r="U19" s="20">
        <f>U13*U15/100</f>
        <v/>
      </c>
      <c r="V19" s="20">
        <f>V13*V15/100</f>
        <v/>
      </c>
      <c r="W19" s="20">
        <f>W13*W15/100</f>
        <v/>
      </c>
      <c r="X19" s="20">
        <f>X13*X15/100</f>
        <v/>
      </c>
      <c r="Y19" s="20">
        <f>Y13*Y15/100</f>
        <v/>
      </c>
      <c r="Z19" s="20">
        <f>Z13*Z15/100</f>
        <v/>
      </c>
      <c r="AA19" s="20">
        <f>AA13*AA15/100</f>
        <v/>
      </c>
      <c r="AB19" s="20">
        <f>AB13*AB15/100</f>
        <v/>
      </c>
      <c r="AC19" s="20">
        <f>AC13*AC15/100</f>
        <v/>
      </c>
      <c r="AD19" s="20">
        <f>AD13*AD15/100</f>
        <v/>
      </c>
      <c r="AE19" s="20">
        <f>AE13*AE15/100</f>
        <v/>
      </c>
      <c r="AF19" s="20">
        <f>AF13*AF15/100</f>
        <v/>
      </c>
      <c r="AG19" s="20">
        <f>AG13*AG15/100</f>
        <v/>
      </c>
      <c r="AH19" s="20">
        <f>AH13*AH15/100</f>
        <v/>
      </c>
      <c r="AI19" s="20">
        <f>AI13*AI15/100</f>
        <v/>
      </c>
      <c r="AJ19" s="20">
        <f>AJ13*AJ15/100</f>
        <v/>
      </c>
      <c r="AK19" s="20">
        <f>AK13*AK15/100</f>
        <v/>
      </c>
      <c r="AL19" s="20">
        <f>AL13*AL15/100</f>
        <v/>
      </c>
      <c r="AM19" s="20">
        <f>AM13*AM15/100</f>
        <v/>
      </c>
    </row>
    <row r="20" ht="17" customHeight="1">
      <c r="A20" s="2" t="inlineStr">
        <is>
          <t>氢冶金产量(万吨)</t>
        </is>
      </c>
      <c r="B20" s="7">
        <f>氢冶金产量公式</f>
        <v/>
      </c>
      <c r="C20" s="20">
        <f>C13*C16/100</f>
        <v/>
      </c>
      <c r="D20" s="20">
        <f>D13*D16/100</f>
        <v/>
      </c>
      <c r="E20" s="20">
        <f>E13*E16/100</f>
        <v/>
      </c>
      <c r="F20" s="20">
        <f>F13*F16/100</f>
        <v/>
      </c>
      <c r="G20" s="20">
        <f>G13*G16/100</f>
        <v/>
      </c>
      <c r="H20" s="20">
        <f>H13*H16/100</f>
        <v/>
      </c>
      <c r="I20" s="20">
        <f>I13*I16/100</f>
        <v/>
      </c>
      <c r="J20" s="20">
        <f>J13*J16/100</f>
        <v/>
      </c>
      <c r="K20" s="20">
        <f>K13*K16/100</f>
        <v/>
      </c>
      <c r="L20" s="20">
        <f>L13*L16/100</f>
        <v/>
      </c>
      <c r="M20" s="20">
        <f>M13*M16/100</f>
        <v/>
      </c>
      <c r="N20" s="20">
        <f>N13*N16/100</f>
        <v/>
      </c>
      <c r="O20" s="20">
        <f>O13*O16/100</f>
        <v/>
      </c>
      <c r="P20" s="20">
        <f>P13*P16/100</f>
        <v/>
      </c>
      <c r="Q20" s="20">
        <f>Q13*Q16/100</f>
        <v/>
      </c>
      <c r="R20" s="20">
        <f>R13*R16/100</f>
        <v/>
      </c>
      <c r="S20" s="20">
        <f>S13*S16/100</f>
        <v/>
      </c>
      <c r="T20" s="20">
        <f>T13*T16/100</f>
        <v/>
      </c>
      <c r="U20" s="20">
        <f>U13*U16/100</f>
        <v/>
      </c>
      <c r="V20" s="20">
        <f>V13*V16/100</f>
        <v/>
      </c>
      <c r="W20" s="20">
        <f>W13*W16/100</f>
        <v/>
      </c>
      <c r="X20" s="20">
        <f>X13*X16/100</f>
        <v/>
      </c>
      <c r="Y20" s="20">
        <f>Y13*Y16/100</f>
        <v/>
      </c>
      <c r="Z20" s="20">
        <f>Z13*Z16/100</f>
        <v/>
      </c>
      <c r="AA20" s="20">
        <f>AA13*AA16/100</f>
        <v/>
      </c>
      <c r="AB20" s="20">
        <f>AB13*AB16/100</f>
        <v/>
      </c>
      <c r="AC20" s="20">
        <f>AC13*AC16/100</f>
        <v/>
      </c>
      <c r="AD20" s="20">
        <f>AD13*AD16/100</f>
        <v/>
      </c>
      <c r="AE20" s="20">
        <f>AE13*AE16/100</f>
        <v/>
      </c>
      <c r="AF20" s="20">
        <f>AF13*AF16/100</f>
        <v/>
      </c>
      <c r="AG20" s="20">
        <f>AG13*AG16/100</f>
        <v/>
      </c>
      <c r="AH20" s="20">
        <f>AH13*AH16/100</f>
        <v/>
      </c>
      <c r="AI20" s="20">
        <f>AI13*AI16/100</f>
        <v/>
      </c>
      <c r="AJ20" s="20">
        <f>AJ13*AJ16/100</f>
        <v/>
      </c>
      <c r="AK20" s="20">
        <f>AK13*AK16/100</f>
        <v/>
      </c>
      <c r="AL20" s="20">
        <f>AL13*AL16/100</f>
        <v/>
      </c>
      <c r="AM20" s="20">
        <f>AM13*AM16/100</f>
        <v/>
      </c>
      <c r="AP20" s="37" t="inlineStr">
        <is>
          <t>BF-BOF碳排放强度</t>
        </is>
      </c>
      <c r="AQ20" s="30" t="inlineStr">
        <is>
          <t>1.80 tCO2/t</t>
        </is>
      </c>
    </row>
    <row r="21" ht="17.5" customHeight="1">
      <c r="A21" s="34" t="inlineStr">
        <is>
          <t>Step 5: 铁素资源结构</t>
        </is>
      </c>
      <c r="B21" s="35" t="n"/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6" t="n"/>
      <c r="AP21" s="37" t="inlineStr">
        <is>
          <t>Scrap-EAF碳排放强度</t>
        </is>
      </c>
      <c r="AQ21" s="30" t="inlineStr">
        <is>
          <t>0.45 tCO2/t</t>
        </is>
      </c>
    </row>
    <row r="22" ht="28" customHeight="1">
      <c r="A22" s="7" t="inlineStr">
        <is>
          <t>废钢资源量参考(万吨/年)</t>
        </is>
      </c>
      <c r="B22" s="7" t="inlineStr">
        <is>
          <t>崔志峰等(2023): 2045峰值约5亿吨, 2050年4.7-5.2亿吨</t>
        </is>
      </c>
      <c r="C22" s="21" t="n">
        <v>28826</v>
      </c>
      <c r="D22" s="21" t="n">
        <v>28254</v>
      </c>
      <c r="E22" s="21" t="n">
        <v>29999</v>
      </c>
      <c r="F22" s="21" t="n">
        <v>29431</v>
      </c>
      <c r="G22" s="21" t="n">
        <v>29435</v>
      </c>
      <c r="H22" s="21" t="n">
        <v>28841</v>
      </c>
      <c r="I22" s="21" t="n">
        <v>32825</v>
      </c>
      <c r="J22" s="21" t="n">
        <v>34566</v>
      </c>
      <c r="K22" s="21" t="n">
        <v>36824</v>
      </c>
      <c r="L22" s="21" t="n">
        <v>38029</v>
      </c>
      <c r="M22" s="21" t="n">
        <v>40733</v>
      </c>
      <c r="N22" s="21" t="n">
        <v>41498</v>
      </c>
      <c r="O22" s="21" t="n">
        <v>39919</v>
      </c>
      <c r="P22" s="21" t="n">
        <v>40670</v>
      </c>
      <c r="Q22" s="21" t="n">
        <v>43771</v>
      </c>
      <c r="R22" s="21" t="n">
        <v>49120</v>
      </c>
      <c r="S22" s="21" t="n">
        <v>49569</v>
      </c>
      <c r="T22" s="21" t="n">
        <v>53511</v>
      </c>
      <c r="U22" s="21" t="n">
        <v>53922</v>
      </c>
      <c r="V22" s="21" t="n">
        <v>58199</v>
      </c>
      <c r="W22" s="21" t="n">
        <v>57300</v>
      </c>
      <c r="X22" s="21" t="n">
        <v>58133</v>
      </c>
      <c r="Y22" s="21" t="n">
        <v>58418</v>
      </c>
      <c r="Z22" s="21" t="n">
        <v>58749</v>
      </c>
      <c r="AA22" s="21" t="n">
        <v>58819</v>
      </c>
      <c r="AB22" s="21" t="n">
        <v>58783</v>
      </c>
      <c r="AC22" s="21" t="n">
        <v>58648</v>
      </c>
      <c r="AD22" s="21" t="n">
        <v>58235</v>
      </c>
      <c r="AE22" s="21" t="n">
        <v>57897</v>
      </c>
      <c r="AF22" s="21" t="n">
        <v>58334</v>
      </c>
      <c r="AG22" s="21" t="n">
        <v>58048</v>
      </c>
      <c r="AH22" s="21" t="n">
        <v>58590</v>
      </c>
      <c r="AI22" s="21" t="n">
        <v>57706</v>
      </c>
      <c r="AJ22" s="21" t="n">
        <v>56824</v>
      </c>
      <c r="AK22" s="21" t="n">
        <v>56041</v>
      </c>
      <c r="AL22" s="21" t="n">
        <v>55228</v>
      </c>
      <c r="AM22" s="21" t="n">
        <v>54411</v>
      </c>
      <c r="AP22" s="37" t="inlineStr">
        <is>
          <t>DRI-EAF碳排放强度</t>
        </is>
      </c>
      <c r="AQ22" s="30" t="inlineStr">
        <is>
          <t>1.65 tCO2/t</t>
        </is>
      </c>
    </row>
    <row r="23" ht="17" customHeight="1">
      <c r="A23" s="2" t="inlineStr">
        <is>
          <t>长流程废钢消耗量(万吨)</t>
        </is>
      </c>
      <c r="B23" s="7" t="inlineStr">
        <is>
          <t>铁素资源公式</t>
        </is>
      </c>
      <c r="C23" s="20">
        <f>C18*0.3</f>
        <v/>
      </c>
      <c r="D23" s="20">
        <f>D18*0.3</f>
        <v/>
      </c>
      <c r="E23" s="20">
        <f>E18*0.3</f>
        <v/>
      </c>
      <c r="F23" s="20">
        <f>F18*0.3</f>
        <v/>
      </c>
      <c r="G23" s="20">
        <f>G18*0.3</f>
        <v/>
      </c>
      <c r="H23" s="20">
        <f>H18*0.3</f>
        <v/>
      </c>
      <c r="I23" s="20">
        <f>I18*0.3</f>
        <v/>
      </c>
      <c r="J23" s="20">
        <f>J18*0.3</f>
        <v/>
      </c>
      <c r="K23" s="20">
        <f>K18*0.3</f>
        <v/>
      </c>
      <c r="L23" s="20">
        <f>L18*0.3</f>
        <v/>
      </c>
      <c r="M23" s="20">
        <f>M18*0.3</f>
        <v/>
      </c>
      <c r="N23" s="20">
        <f>N18*0.3</f>
        <v/>
      </c>
      <c r="O23" s="20">
        <f>O18*0.3</f>
        <v/>
      </c>
      <c r="P23" s="20">
        <f>P18*0.3</f>
        <v/>
      </c>
      <c r="Q23" s="20">
        <f>Q18*0.3</f>
        <v/>
      </c>
      <c r="R23" s="20">
        <f>R18*0.3</f>
        <v/>
      </c>
      <c r="S23" s="20">
        <f>S18*0.3</f>
        <v/>
      </c>
      <c r="T23" s="20">
        <f>T18*0.3</f>
        <v/>
      </c>
      <c r="U23" s="20">
        <f>U18*0.3</f>
        <v/>
      </c>
      <c r="V23" s="20">
        <f>V18*0.3</f>
        <v/>
      </c>
      <c r="W23" s="20">
        <f>W18*0.3</f>
        <v/>
      </c>
      <c r="X23" s="20">
        <f>X18*0.3</f>
        <v/>
      </c>
      <c r="Y23" s="20">
        <f>Y18*0.3</f>
        <v/>
      </c>
      <c r="Z23" s="20">
        <f>Z18*0.3</f>
        <v/>
      </c>
      <c r="AA23" s="20">
        <f>AA18*0.3</f>
        <v/>
      </c>
      <c r="AB23" s="20">
        <f>AB18*0.3</f>
        <v/>
      </c>
      <c r="AC23" s="20">
        <f>AC18*0.3</f>
        <v/>
      </c>
      <c r="AD23" s="20">
        <f>AD18*0.3</f>
        <v/>
      </c>
      <c r="AE23" s="20">
        <f>AE18*0.3</f>
        <v/>
      </c>
      <c r="AF23" s="20">
        <f>AF18*0.3</f>
        <v/>
      </c>
      <c r="AG23" s="20">
        <f>AG18*0.3</f>
        <v/>
      </c>
      <c r="AH23" s="20">
        <f>AH18*0.3</f>
        <v/>
      </c>
      <c r="AI23" s="20">
        <f>AI18*0.3</f>
        <v/>
      </c>
      <c r="AJ23" s="20">
        <f>AJ18*0.3</f>
        <v/>
      </c>
      <c r="AK23" s="20">
        <f>AK18*0.3</f>
        <v/>
      </c>
      <c r="AL23" s="20">
        <f>AL18*0.3</f>
        <v/>
      </c>
      <c r="AM23" s="20">
        <f>AM18*0.3</f>
        <v/>
      </c>
      <c r="AP23" s="37" t="inlineStr">
        <is>
          <t>铁水碳排放强度</t>
        </is>
      </c>
      <c r="AQ23" s="30" t="inlineStr">
        <is>
          <t>1.26 tCO2/t</t>
        </is>
      </c>
    </row>
    <row r="24" ht="17" customHeight="1">
      <c r="A24" s="2" t="inlineStr">
        <is>
          <t>长流程矿石消耗量(万吨)</t>
        </is>
      </c>
      <c r="B24" s="7" t="inlineStr">
        <is>
          <t>铁素资源公式</t>
        </is>
      </c>
      <c r="C24" s="20">
        <f>(C18-C23/1.1)*1.053*1.65</f>
        <v/>
      </c>
      <c r="D24" s="20">
        <f>(D18-D23/1.1)*1.053*1.65</f>
        <v/>
      </c>
      <c r="E24" s="20">
        <f>(E18-E23/1.1)*1.053*1.65</f>
        <v/>
      </c>
      <c r="F24" s="20">
        <f>(F18-F23/1.1)*1.053*1.65</f>
        <v/>
      </c>
      <c r="G24" s="20">
        <f>(G18-G23/1.1)*1.053*1.65</f>
        <v/>
      </c>
      <c r="H24" s="20">
        <f>(H18-H23/1.1)*1.053*1.65</f>
        <v/>
      </c>
      <c r="I24" s="20">
        <f>(I18-I23/1.1)*1.053*1.65</f>
        <v/>
      </c>
      <c r="J24" s="20">
        <f>(J18-J23/1.1)*1.053*1.65</f>
        <v/>
      </c>
      <c r="K24" s="20">
        <f>(K18-K23/1.1)*1.053*1.65</f>
        <v/>
      </c>
      <c r="L24" s="20">
        <f>(L18-L23/1.1)*1.053*1.65</f>
        <v/>
      </c>
      <c r="M24" s="20">
        <f>(M18-M23/1.1)*1.053*1.65</f>
        <v/>
      </c>
      <c r="N24" s="20">
        <f>(N18-N23/1.1)*1.053*1.65</f>
        <v/>
      </c>
      <c r="O24" s="20">
        <f>(O18-O23/1.1)*1.053*1.65</f>
        <v/>
      </c>
      <c r="P24" s="20">
        <f>(P18-P23/1.1)*1.053*1.65</f>
        <v/>
      </c>
      <c r="Q24" s="20">
        <f>(Q18-Q23/1.1)*1.053*1.65</f>
        <v/>
      </c>
      <c r="R24" s="20">
        <f>(R18-R23/1.1)*1.053*1.65</f>
        <v/>
      </c>
      <c r="S24" s="20">
        <f>(S18-S23/1.1)*1.053*1.65</f>
        <v/>
      </c>
      <c r="T24" s="20">
        <f>(T18-T23/1.1)*1.053*1.65</f>
        <v/>
      </c>
      <c r="U24" s="20">
        <f>(U18-U23/1.1)*1.053*1.65</f>
        <v/>
      </c>
      <c r="V24" s="20">
        <f>(V18-V23/1.1)*1.053*1.65</f>
        <v/>
      </c>
      <c r="W24" s="20">
        <f>(W18-W23/1.1)*1.053*1.65</f>
        <v/>
      </c>
      <c r="X24" s="20">
        <f>(X18-X23/1.1)*1.053*1.65</f>
        <v/>
      </c>
      <c r="Y24" s="20">
        <f>(Y18-Y23/1.1)*1.053*1.65</f>
        <v/>
      </c>
      <c r="Z24" s="20">
        <f>(Z18-Z23/1.1)*1.053*1.65</f>
        <v/>
      </c>
      <c r="AA24" s="20">
        <f>(AA18-AA23/1.1)*1.053*1.65</f>
        <v/>
      </c>
      <c r="AB24" s="20">
        <f>(AB18-AB23/1.1)*1.053*1.65</f>
        <v/>
      </c>
      <c r="AC24" s="20">
        <f>(AC18-AC23/1.1)*1.053*1.65</f>
        <v/>
      </c>
      <c r="AD24" s="20">
        <f>(AD18-AD23/1.1)*1.053*1.65</f>
        <v/>
      </c>
      <c r="AE24" s="20">
        <f>(AE18-AE23/1.1)*1.053*1.65</f>
        <v/>
      </c>
      <c r="AF24" s="20">
        <f>(AF18-AF23/1.1)*1.053*1.65</f>
        <v/>
      </c>
      <c r="AG24" s="20">
        <f>(AG18-AG23/1.1)*1.053*1.65</f>
        <v/>
      </c>
      <c r="AH24" s="20">
        <f>(AH18-AH23/1.1)*1.053*1.65</f>
        <v/>
      </c>
      <c r="AI24" s="20">
        <f>(AI18-AI23/1.1)*1.053*1.65</f>
        <v/>
      </c>
      <c r="AJ24" s="20">
        <f>(AJ18-AJ23/1.1)*1.053*1.65</f>
        <v/>
      </c>
      <c r="AK24" s="20">
        <f>(AK18-AK23/1.1)*1.053*1.65</f>
        <v/>
      </c>
      <c r="AL24" s="20">
        <f>(AL18-AL23/1.1)*1.053*1.65</f>
        <v/>
      </c>
      <c r="AM24" s="20">
        <f>(AM18-AM23/1.1)*1.053*1.65</f>
        <v/>
      </c>
    </row>
    <row r="25" ht="17" customHeight="1">
      <c r="A25" s="2" t="inlineStr">
        <is>
          <t>短流程废钢消耗量(万吨)</t>
        </is>
      </c>
      <c r="B25" s="7" t="inlineStr">
        <is>
          <t>铁素资源公式</t>
        </is>
      </c>
      <c r="C25" s="20">
        <f>C19*1.1</f>
        <v/>
      </c>
      <c r="D25" s="20">
        <f>D19*1.1</f>
        <v/>
      </c>
      <c r="E25" s="20">
        <f>E19*1.1</f>
        <v/>
      </c>
      <c r="F25" s="20">
        <f>F19*1.1</f>
        <v/>
      </c>
      <c r="G25" s="20">
        <f>G19*1.1</f>
        <v/>
      </c>
      <c r="H25" s="20">
        <f>H19*1.1</f>
        <v/>
      </c>
      <c r="I25" s="20">
        <f>I19*1.1</f>
        <v/>
      </c>
      <c r="J25" s="20">
        <f>J19*1.1</f>
        <v/>
      </c>
      <c r="K25" s="20">
        <f>K19*1.1</f>
        <v/>
      </c>
      <c r="L25" s="20">
        <f>L19*1.1</f>
        <v/>
      </c>
      <c r="M25" s="20">
        <f>M19*1.1</f>
        <v/>
      </c>
      <c r="N25" s="20">
        <f>N19*1.1</f>
        <v/>
      </c>
      <c r="O25" s="20">
        <f>O19*1.1</f>
        <v/>
      </c>
      <c r="P25" s="20">
        <f>P19*1.1</f>
        <v/>
      </c>
      <c r="Q25" s="20">
        <f>Q19*1.1</f>
        <v/>
      </c>
      <c r="R25" s="20">
        <f>R19*1.1</f>
        <v/>
      </c>
      <c r="S25" s="20">
        <f>S19*1.1</f>
        <v/>
      </c>
      <c r="T25" s="20">
        <f>T19*1.1</f>
        <v/>
      </c>
      <c r="U25" s="20">
        <f>U19*1.1</f>
        <v/>
      </c>
      <c r="V25" s="20">
        <f>V19*1.1</f>
        <v/>
      </c>
      <c r="W25" s="20">
        <f>W19*1.1</f>
        <v/>
      </c>
      <c r="X25" s="20">
        <f>X19*1.1</f>
        <v/>
      </c>
      <c r="Y25" s="20">
        <f>Y19*1.1</f>
        <v/>
      </c>
      <c r="Z25" s="20">
        <f>Z19*1.1</f>
        <v/>
      </c>
      <c r="AA25" s="20">
        <f>AA19*1.1</f>
        <v/>
      </c>
      <c r="AB25" s="20">
        <f>AB19*1.1</f>
        <v/>
      </c>
      <c r="AC25" s="20">
        <f>AC19*1.1</f>
        <v/>
      </c>
      <c r="AD25" s="20">
        <f>AD19*1.1</f>
        <v/>
      </c>
      <c r="AE25" s="20">
        <f>AE19*1.1</f>
        <v/>
      </c>
      <c r="AF25" s="20">
        <f>AF19*1.1</f>
        <v/>
      </c>
      <c r="AG25" s="20">
        <f>AG19*1.1</f>
        <v/>
      </c>
      <c r="AH25" s="20">
        <f>AH19*1.1</f>
        <v/>
      </c>
      <c r="AI25" s="20">
        <f>AI19*1.1</f>
        <v/>
      </c>
      <c r="AJ25" s="20">
        <f>AJ19*1.1</f>
        <v/>
      </c>
      <c r="AK25" s="20">
        <f>AK19*1.1</f>
        <v/>
      </c>
      <c r="AL25" s="20">
        <f>AL19*1.1</f>
        <v/>
      </c>
      <c r="AM25" s="20">
        <f>AM19*1.1</f>
        <v/>
      </c>
      <c r="AP25" s="40" t="inlineStr">
        <is>
          <t>---电力参数---</t>
        </is>
      </c>
      <c r="AQ25" s="36" t="n"/>
    </row>
    <row r="26" ht="17" customHeight="1">
      <c r="A26" s="2" t="inlineStr">
        <is>
          <t>氢冶金废钢消耗量(万吨)</t>
        </is>
      </c>
      <c r="B26" s="7" t="inlineStr">
        <is>
          <t>铁素资源公式</t>
        </is>
      </c>
      <c r="C26" s="20">
        <f>C20*0.5</f>
        <v/>
      </c>
      <c r="D26" s="20">
        <f>D20*0.5</f>
        <v/>
      </c>
      <c r="E26" s="20">
        <f>E20*0.5</f>
        <v/>
      </c>
      <c r="F26" s="20">
        <f>F20*0.5</f>
        <v/>
      </c>
      <c r="G26" s="20">
        <f>G20*0.5</f>
        <v/>
      </c>
      <c r="H26" s="20">
        <f>H20*0.5</f>
        <v/>
      </c>
      <c r="I26" s="20">
        <f>I20*0.5</f>
        <v/>
      </c>
      <c r="J26" s="20">
        <f>J20*0.5</f>
        <v/>
      </c>
      <c r="K26" s="20">
        <f>K20*0.5</f>
        <v/>
      </c>
      <c r="L26" s="20">
        <f>L20*0.5</f>
        <v/>
      </c>
      <c r="M26" s="20">
        <f>M20*0.5</f>
        <v/>
      </c>
      <c r="N26" s="20">
        <f>N20*0.5</f>
        <v/>
      </c>
      <c r="O26" s="20">
        <f>O20*0.5</f>
        <v/>
      </c>
      <c r="P26" s="20">
        <f>P20*0.5</f>
        <v/>
      </c>
      <c r="Q26" s="20">
        <f>Q20*0.5</f>
        <v/>
      </c>
      <c r="R26" s="20">
        <f>R20*0.5</f>
        <v/>
      </c>
      <c r="S26" s="20">
        <f>S20*0.5</f>
        <v/>
      </c>
      <c r="T26" s="20">
        <f>T20*0.5</f>
        <v/>
      </c>
      <c r="U26" s="20">
        <f>U20*0.5</f>
        <v/>
      </c>
      <c r="V26" s="20">
        <f>V20*0.5</f>
        <v/>
      </c>
      <c r="W26" s="20">
        <f>W20*0.5</f>
        <v/>
      </c>
      <c r="X26" s="20">
        <f>X20*0.5</f>
        <v/>
      </c>
      <c r="Y26" s="20">
        <f>Y20*0.5</f>
        <v/>
      </c>
      <c r="Z26" s="20">
        <f>Z20*0.5</f>
        <v/>
      </c>
      <c r="AA26" s="20">
        <f>AA20*0.5</f>
        <v/>
      </c>
      <c r="AB26" s="20">
        <f>AB20*0.5</f>
        <v/>
      </c>
      <c r="AC26" s="20">
        <f>AC20*0.5</f>
        <v/>
      </c>
      <c r="AD26" s="20">
        <f>AD20*0.5</f>
        <v/>
      </c>
      <c r="AE26" s="20">
        <f>AE20*0.5</f>
        <v/>
      </c>
      <c r="AF26" s="20">
        <f>AF20*0.5</f>
        <v/>
      </c>
      <c r="AG26" s="20">
        <f>AG20*0.5</f>
        <v/>
      </c>
      <c r="AH26" s="20">
        <f>AH20*0.5</f>
        <v/>
      </c>
      <c r="AI26" s="20">
        <f>AI20*0.5</f>
        <v/>
      </c>
      <c r="AJ26" s="20">
        <f>AJ20*0.5</f>
        <v/>
      </c>
      <c r="AK26" s="20">
        <f>AK20*0.5</f>
        <v/>
      </c>
      <c r="AL26" s="20">
        <f>AL20*0.5</f>
        <v/>
      </c>
      <c r="AM26" s="20">
        <f>AM20*0.5</f>
        <v/>
      </c>
      <c r="AP26" s="37" t="inlineStr">
        <is>
          <t>电网因子(kgCO2/kWh)</t>
        </is>
      </c>
      <c r="AQ26" s="30" t="inlineStr">
        <is>
          <t>0.5306</t>
        </is>
      </c>
    </row>
    <row r="27" ht="17" customHeight="1">
      <c r="A27" s="2" t="inlineStr">
        <is>
          <t>氢冶金矿石消耗量(万吨)</t>
        </is>
      </c>
      <c r="B27" s="7" t="inlineStr">
        <is>
          <t>铁素资源公式</t>
        </is>
      </c>
      <c r="C27" s="20">
        <f>(C20-C26/1.1)*1.053*1.65</f>
        <v/>
      </c>
      <c r="D27" s="20">
        <f>(D20-D26/1.1)*1.053*1.65</f>
        <v/>
      </c>
      <c r="E27" s="20">
        <f>(E20-E26/1.1)*1.053*1.65</f>
        <v/>
      </c>
      <c r="F27" s="20">
        <f>(F20-F26/1.1)*1.053*1.65</f>
        <v/>
      </c>
      <c r="G27" s="20">
        <f>(G20-G26/1.1)*1.053*1.65</f>
        <v/>
      </c>
      <c r="H27" s="20">
        <f>(H20-H26/1.1)*1.053*1.65</f>
        <v/>
      </c>
      <c r="I27" s="20">
        <f>(I20-I26/1.1)*1.053*1.65</f>
        <v/>
      </c>
      <c r="J27" s="20">
        <f>(J20-J26/1.1)*1.053*1.65</f>
        <v/>
      </c>
      <c r="K27" s="20">
        <f>(K20-K26/1.1)*1.053*1.65</f>
        <v/>
      </c>
      <c r="L27" s="20">
        <f>(L20-L26/1.1)*1.053*1.65</f>
        <v/>
      </c>
      <c r="M27" s="20">
        <f>(M20-M26/1.1)*1.053*1.65</f>
        <v/>
      </c>
      <c r="N27" s="20">
        <f>(N20-N26/1.1)*1.053*1.65</f>
        <v/>
      </c>
      <c r="O27" s="20">
        <f>(O20-O26/1.1)*1.053*1.65</f>
        <v/>
      </c>
      <c r="P27" s="20">
        <f>(P20-P26/1.1)*1.053*1.65</f>
        <v/>
      </c>
      <c r="Q27" s="20">
        <f>(Q20-Q26/1.1)*1.053*1.65</f>
        <v/>
      </c>
      <c r="R27" s="20">
        <f>(R20-R26/1.1)*1.053*1.65</f>
        <v/>
      </c>
      <c r="S27" s="20">
        <f>(S20-S26/1.1)*1.053*1.65</f>
        <v/>
      </c>
      <c r="T27" s="20">
        <f>(T20-T26/1.1)*1.053*1.65</f>
        <v/>
      </c>
      <c r="U27" s="20">
        <f>(U20-U26/1.1)*1.053*1.65</f>
        <v/>
      </c>
      <c r="V27" s="20">
        <f>(V20-V26/1.1)*1.053*1.65</f>
        <v/>
      </c>
      <c r="W27" s="20">
        <f>(W20-W26/1.1)*1.053*1.65</f>
        <v/>
      </c>
      <c r="X27" s="20">
        <f>(X20-X26/1.1)*1.053*1.65</f>
        <v/>
      </c>
      <c r="Y27" s="20">
        <f>(Y20-Y26/1.1)*1.053*1.65</f>
        <v/>
      </c>
      <c r="Z27" s="20">
        <f>(Z20-Z26/1.1)*1.053*1.65</f>
        <v/>
      </c>
      <c r="AA27" s="20">
        <f>(AA20-AA26/1.1)*1.053*1.65</f>
        <v/>
      </c>
      <c r="AB27" s="20">
        <f>(AB20-AB26/1.1)*1.053*1.65</f>
        <v/>
      </c>
      <c r="AC27" s="20">
        <f>(AC20-AC26/1.1)*1.053*1.65</f>
        <v/>
      </c>
      <c r="AD27" s="20">
        <f>(AD20-AD26/1.1)*1.053*1.65</f>
        <v/>
      </c>
      <c r="AE27" s="20">
        <f>(AE20-AE26/1.1)*1.053*1.65</f>
        <v/>
      </c>
      <c r="AF27" s="20">
        <f>(AF20-AF26/1.1)*1.053*1.65</f>
        <v/>
      </c>
      <c r="AG27" s="20">
        <f>(AG20-AG26/1.1)*1.053*1.65</f>
        <v/>
      </c>
      <c r="AH27" s="20">
        <f>(AH20-AH26/1.1)*1.053*1.65</f>
        <v/>
      </c>
      <c r="AI27" s="20">
        <f>(AI20-AI26/1.1)*1.053*1.65</f>
        <v/>
      </c>
      <c r="AJ27" s="20">
        <f>(AJ20-AJ26/1.1)*1.053*1.65</f>
        <v/>
      </c>
      <c r="AK27" s="20">
        <f>(AK20-AK26/1.1)*1.053*1.65</f>
        <v/>
      </c>
      <c r="AL27" s="20">
        <f>(AL20-AL26/1.1)*1.053*1.65</f>
        <v/>
      </c>
      <c r="AM27" s="20">
        <f>(AM20-AM26/1.1)*1.053*1.65</f>
        <v/>
      </c>
    </row>
    <row r="28" ht="17" customHeight="1">
      <c r="A28" s="4" t="inlineStr">
        <is>
          <t>废钢消耗总量(万吨)</t>
        </is>
      </c>
      <c r="B28" s="7" t="inlineStr">
        <is>
          <t>铁素资源公式</t>
        </is>
      </c>
      <c r="C28" s="22">
        <f>C23+C25+C26</f>
        <v/>
      </c>
      <c r="D28" s="22">
        <f>D23+D25+D26</f>
        <v/>
      </c>
      <c r="E28" s="22">
        <f>E23+E25+E26</f>
        <v/>
      </c>
      <c r="F28" s="22">
        <f>F23+F25+F26</f>
        <v/>
      </c>
      <c r="G28" s="22">
        <f>G23+G25+G26</f>
        <v/>
      </c>
      <c r="H28" s="22">
        <f>H23+H25+H26</f>
        <v/>
      </c>
      <c r="I28" s="22">
        <f>I23+I25+I26</f>
        <v/>
      </c>
      <c r="J28" s="22">
        <f>J23+J25+J26</f>
        <v/>
      </c>
      <c r="K28" s="22">
        <f>K23+K25+K26</f>
        <v/>
      </c>
      <c r="L28" s="22">
        <f>L23+L25+L26</f>
        <v/>
      </c>
      <c r="M28" s="22">
        <f>M23+M25+M26</f>
        <v/>
      </c>
      <c r="N28" s="22">
        <f>N23+N25+N26</f>
        <v/>
      </c>
      <c r="O28" s="22">
        <f>O23+O25+O26</f>
        <v/>
      </c>
      <c r="P28" s="22">
        <f>P23+P25+P26</f>
        <v/>
      </c>
      <c r="Q28" s="22">
        <f>Q23+Q25+Q26</f>
        <v/>
      </c>
      <c r="R28" s="22">
        <f>R23+R25+R26</f>
        <v/>
      </c>
      <c r="S28" s="22">
        <f>S23+S25+S26</f>
        <v/>
      </c>
      <c r="T28" s="22">
        <f>T23+T25+T26</f>
        <v/>
      </c>
      <c r="U28" s="22">
        <f>U23+U25+U26</f>
        <v/>
      </c>
      <c r="V28" s="22">
        <f>V23+V25+V26</f>
        <v/>
      </c>
      <c r="W28" s="22">
        <f>W23+W25+W26</f>
        <v/>
      </c>
      <c r="X28" s="22">
        <f>X23+X25+X26</f>
        <v/>
      </c>
      <c r="Y28" s="22">
        <f>Y23+Y25+Y26</f>
        <v/>
      </c>
      <c r="Z28" s="22">
        <f>Z23+Z25+Z26</f>
        <v/>
      </c>
      <c r="AA28" s="22">
        <f>AA23+AA25+AA26</f>
        <v/>
      </c>
      <c r="AB28" s="22">
        <f>AB23+AB25+AB26</f>
        <v/>
      </c>
      <c r="AC28" s="22">
        <f>AC23+AC25+AC26</f>
        <v/>
      </c>
      <c r="AD28" s="22">
        <f>AD23+AD25+AD26</f>
        <v/>
      </c>
      <c r="AE28" s="22">
        <f>AE23+AE25+AE26</f>
        <v/>
      </c>
      <c r="AF28" s="22">
        <f>AF23+AF25+AF26</f>
        <v/>
      </c>
      <c r="AG28" s="22">
        <f>AG23+AG25+AG26</f>
        <v/>
      </c>
      <c r="AH28" s="22">
        <f>AH23+AH25+AH26</f>
        <v/>
      </c>
      <c r="AI28" s="22">
        <f>AI23+AI25+AI26</f>
        <v/>
      </c>
      <c r="AJ28" s="22">
        <f>AJ23+AJ25+AJ26</f>
        <v/>
      </c>
      <c r="AK28" s="22">
        <f>AK23+AK25+AK26</f>
        <v/>
      </c>
      <c r="AL28" s="22">
        <f>AL23+AL25+AL26</f>
        <v/>
      </c>
      <c r="AM28" s="22">
        <f>AM23+AM25+AM26</f>
        <v/>
      </c>
      <c r="AP28" s="37" t="inlineStr">
        <is>
          <t>BF-BOF耗电(kWh/t)</t>
        </is>
      </c>
      <c r="AQ28" s="30" t="inlineStr">
        <is>
          <t>450</t>
        </is>
      </c>
    </row>
    <row r="29" ht="17" customHeight="1">
      <c r="A29" s="4" t="inlineStr">
        <is>
          <t>矿石消耗总量(万吨)</t>
        </is>
      </c>
      <c r="B29" s="7" t="inlineStr">
        <is>
          <t>铁素资源公式</t>
        </is>
      </c>
      <c r="C29" s="22">
        <f>C24+C27</f>
        <v/>
      </c>
      <c r="D29" s="22">
        <f>D24+D27</f>
        <v/>
      </c>
      <c r="E29" s="22">
        <f>E24+E27</f>
        <v/>
      </c>
      <c r="F29" s="22">
        <f>F24+F27</f>
        <v/>
      </c>
      <c r="G29" s="22">
        <f>G24+G27</f>
        <v/>
      </c>
      <c r="H29" s="22">
        <f>H24+H27</f>
        <v/>
      </c>
      <c r="I29" s="22">
        <f>I24+I27</f>
        <v/>
      </c>
      <c r="J29" s="22">
        <f>J24+J27</f>
        <v/>
      </c>
      <c r="K29" s="22">
        <f>K24+K27</f>
        <v/>
      </c>
      <c r="L29" s="22">
        <f>L24+L27</f>
        <v/>
      </c>
      <c r="M29" s="22">
        <f>M24+M27</f>
        <v/>
      </c>
      <c r="N29" s="22">
        <f>N24+N27</f>
        <v/>
      </c>
      <c r="O29" s="22">
        <f>O24+O27</f>
        <v/>
      </c>
      <c r="P29" s="22">
        <f>P24+P27</f>
        <v/>
      </c>
      <c r="Q29" s="22">
        <f>Q24+Q27</f>
        <v/>
      </c>
      <c r="R29" s="22">
        <f>R24+R27</f>
        <v/>
      </c>
      <c r="S29" s="22">
        <f>S24+S27</f>
        <v/>
      </c>
      <c r="T29" s="22">
        <f>T24+T27</f>
        <v/>
      </c>
      <c r="U29" s="22">
        <f>U24+U27</f>
        <v/>
      </c>
      <c r="V29" s="22">
        <f>V24+V27</f>
        <v/>
      </c>
      <c r="W29" s="22">
        <f>W24+W27</f>
        <v/>
      </c>
      <c r="X29" s="22">
        <f>X24+X27</f>
        <v/>
      </c>
      <c r="Y29" s="22">
        <f>Y24+Y27</f>
        <v/>
      </c>
      <c r="Z29" s="22">
        <f>Z24+Z27</f>
        <v/>
      </c>
      <c r="AA29" s="22">
        <f>AA24+AA27</f>
        <v/>
      </c>
      <c r="AB29" s="22">
        <f>AB24+AB27</f>
        <v/>
      </c>
      <c r="AC29" s="22">
        <f>AC24+AC27</f>
        <v/>
      </c>
      <c r="AD29" s="22">
        <f>AD24+AD27</f>
        <v/>
      </c>
      <c r="AE29" s="22">
        <f>AE24+AE27</f>
        <v/>
      </c>
      <c r="AF29" s="22">
        <f>AF24+AF27</f>
        <v/>
      </c>
      <c r="AG29" s="22">
        <f>AG24+AG27</f>
        <v/>
      </c>
      <c r="AH29" s="22">
        <f>AH24+AH27</f>
        <v/>
      </c>
      <c r="AI29" s="22">
        <f>AI24+AI27</f>
        <v/>
      </c>
      <c r="AJ29" s="22">
        <f>AJ24+AJ27</f>
        <v/>
      </c>
      <c r="AK29" s="22">
        <f>AK24+AK27</f>
        <v/>
      </c>
      <c r="AL29" s="22">
        <f>AL24+AL27</f>
        <v/>
      </c>
      <c r="AM29" s="22">
        <f>AM24+AM27</f>
        <v/>
      </c>
      <c r="AP29" s="37" t="inlineStr">
        <is>
          <t>Scrap-EAF耗电(kWh/t)</t>
        </is>
      </c>
      <c r="AQ29" s="30" t="inlineStr">
        <is>
          <t>550</t>
        </is>
      </c>
    </row>
    <row r="30" ht="17.5" customHeight="1">
      <c r="A30" s="34" t="inlineStr">
        <is>
          <t>Step 6: 电力结构</t>
        </is>
      </c>
      <c r="B30" s="35" t="n"/>
      <c r="C30" s="35" t="n"/>
      <c r="D30" s="35" t="n"/>
      <c r="E30" s="35" t="n"/>
      <c r="F30" s="35" t="n"/>
      <c r="G30" s="35" t="n"/>
      <c r="H30" s="35" t="n"/>
      <c r="I30" s="35" t="n"/>
      <c r="J30" s="35" t="n"/>
      <c r="K30" s="35" t="n"/>
      <c r="L30" s="35" t="n"/>
      <c r="M30" s="35" t="n"/>
      <c r="N30" s="35" t="n"/>
      <c r="O30" s="35" t="n"/>
      <c r="P30" s="35" t="n"/>
      <c r="Q30" s="35" t="n"/>
      <c r="R30" s="35" t="n"/>
      <c r="S30" s="35" t="n"/>
      <c r="T30" s="35" t="n"/>
      <c r="U30" s="35" t="n"/>
      <c r="V30" s="35" t="n"/>
      <c r="W30" s="35" t="n"/>
      <c r="X30" s="35" t="n"/>
      <c r="Y30" s="35" t="n"/>
      <c r="Z30" s="35" t="n"/>
      <c r="AA30" s="35" t="n"/>
      <c r="AB30" s="35" t="n"/>
      <c r="AC30" s="35" t="n"/>
      <c r="AD30" s="35" t="n"/>
      <c r="AE30" s="35" t="n"/>
      <c r="AF30" s="35" t="n"/>
      <c r="AG30" s="35" t="n"/>
      <c r="AH30" s="35" t="n"/>
      <c r="AI30" s="35" t="n"/>
      <c r="AJ30" s="35" t="n"/>
      <c r="AK30" s="35" t="n"/>
      <c r="AL30" s="35" t="n"/>
      <c r="AM30" s="36" t="n"/>
      <c r="AP30" s="37" t="inlineStr">
        <is>
          <t>DRI-EAF耗电(kWh/t)</t>
        </is>
      </c>
      <c r="AQ30" s="30" t="inlineStr">
        <is>
          <t>500</t>
        </is>
      </c>
    </row>
    <row r="31" ht="17" customHeight="1">
      <c r="A31" s="2" t="inlineStr">
        <is>
          <t>总耗电量(万kWh)</t>
        </is>
      </c>
      <c r="B31" s="7" t="inlineStr">
        <is>
          <t>电力结构公式</t>
        </is>
      </c>
      <c r="C31" s="20">
        <f>C18*450+C19*550+C20*500</f>
        <v/>
      </c>
      <c r="D31" s="20">
        <f>D18*450+D19*550+D20*500</f>
        <v/>
      </c>
      <c r="E31" s="20">
        <f>E18*450+E19*550+E20*500</f>
        <v/>
      </c>
      <c r="F31" s="20">
        <f>F18*450+F19*550+F20*500</f>
        <v/>
      </c>
      <c r="G31" s="20">
        <f>G18*450+G19*550+G20*500</f>
        <v/>
      </c>
      <c r="H31" s="20">
        <f>H18*450+H19*550+H20*500</f>
        <v/>
      </c>
      <c r="I31" s="20">
        <f>I18*450+I19*550+I20*500</f>
        <v/>
      </c>
      <c r="J31" s="20">
        <f>J18*450+J19*550+J20*500</f>
        <v/>
      </c>
      <c r="K31" s="20">
        <f>K18*450+K19*550+K20*500</f>
        <v/>
      </c>
      <c r="L31" s="20">
        <f>L18*450+L19*550+L20*500</f>
        <v/>
      </c>
      <c r="M31" s="20">
        <f>M18*450+M19*550+M20*500</f>
        <v/>
      </c>
      <c r="N31" s="20">
        <f>N18*450+N19*550+N20*500</f>
        <v/>
      </c>
      <c r="O31" s="20">
        <f>O18*450+O19*550+O20*500</f>
        <v/>
      </c>
      <c r="P31" s="20">
        <f>P18*450+P19*550+P20*500</f>
        <v/>
      </c>
      <c r="Q31" s="20">
        <f>Q18*450+Q19*550+Q20*500</f>
        <v/>
      </c>
      <c r="R31" s="20">
        <f>R18*450+R19*550+R20*500</f>
        <v/>
      </c>
      <c r="S31" s="20">
        <f>S18*450+S19*550+S20*500</f>
        <v/>
      </c>
      <c r="T31" s="20">
        <f>T18*450+T19*550+T20*500</f>
        <v/>
      </c>
      <c r="U31" s="20">
        <f>U18*450+U19*550+U20*500</f>
        <v/>
      </c>
      <c r="V31" s="20">
        <f>V18*450+V19*550+V20*500</f>
        <v/>
      </c>
      <c r="W31" s="20">
        <f>W18*450+W19*550+W20*500</f>
        <v/>
      </c>
      <c r="X31" s="20">
        <f>X18*450+X19*550+X20*500</f>
        <v/>
      </c>
      <c r="Y31" s="20">
        <f>Y18*450+Y19*550+Y20*500</f>
        <v/>
      </c>
      <c r="Z31" s="20">
        <f>Z18*450+Z19*550+Z20*500</f>
        <v/>
      </c>
      <c r="AA31" s="20">
        <f>AA18*450+AA19*550+AA20*500</f>
        <v/>
      </c>
      <c r="AB31" s="20">
        <f>AB18*450+AB19*550+AB20*500</f>
        <v/>
      </c>
      <c r="AC31" s="20">
        <f>AC18*450+AC19*550+AC20*500</f>
        <v/>
      </c>
      <c r="AD31" s="20">
        <f>AD18*450+AD19*550+AD20*500</f>
        <v/>
      </c>
      <c r="AE31" s="20">
        <f>AE18*450+AE19*550+AE20*500</f>
        <v/>
      </c>
      <c r="AF31" s="20">
        <f>AF18*450+AF19*550+AF20*500</f>
        <v/>
      </c>
      <c r="AG31" s="20">
        <f>AG18*450+AG19*550+AG20*500</f>
        <v/>
      </c>
      <c r="AH31" s="20">
        <f>AH18*450+AH19*550+AH20*500</f>
        <v/>
      </c>
      <c r="AI31" s="20">
        <f>AI18*450+AI19*550+AI20*500</f>
        <v/>
      </c>
      <c r="AJ31" s="20">
        <f>AJ18*450+AJ19*550+AJ20*500</f>
        <v/>
      </c>
      <c r="AK31" s="20">
        <f>AK18*450+AK19*550+AK20*500</f>
        <v/>
      </c>
      <c r="AL31" s="20">
        <f>AL18*450+AL19*550+AL20*500</f>
        <v/>
      </c>
      <c r="AM31" s="20">
        <f>AM18*450+AM19*550+AM20*500</f>
        <v/>
      </c>
    </row>
    <row r="32" ht="17" customHeight="1">
      <c r="A32" s="2" t="inlineStr">
        <is>
          <t>绿电占比</t>
        </is>
      </c>
      <c r="B32" s="7" t="inlineStr">
        <is>
          <t>电力结构公式</t>
        </is>
      </c>
      <c r="C32" s="44" t="n">
        <v>0</v>
      </c>
      <c r="D32" s="44" t="n">
        <v>0.01666666666666667</v>
      </c>
      <c r="E32" s="44" t="n">
        <v>0.03333333333333333</v>
      </c>
      <c r="F32" s="44" t="n">
        <v>0.05</v>
      </c>
      <c r="G32" s="44" t="n">
        <v>0.06666666666666667</v>
      </c>
      <c r="H32" s="44" t="n">
        <v>0.08333333333333334</v>
      </c>
      <c r="I32" s="44" t="n">
        <v>0.1</v>
      </c>
      <c r="J32" s="44" t="n">
        <v>0.12</v>
      </c>
      <c r="K32" s="44" t="n">
        <v>0.14</v>
      </c>
      <c r="L32" s="44" t="n">
        <v>0.16</v>
      </c>
      <c r="M32" s="44" t="n">
        <v>0.18</v>
      </c>
      <c r="N32" s="44" t="n">
        <v>0.2</v>
      </c>
      <c r="O32" s="44" t="n">
        <v>0.23</v>
      </c>
      <c r="P32" s="44" t="n">
        <v>0.26</v>
      </c>
      <c r="Q32" s="44" t="n">
        <v>0.29</v>
      </c>
      <c r="R32" s="44" t="n">
        <v>0.32</v>
      </c>
      <c r="S32" s="44" t="n">
        <v>0.35</v>
      </c>
      <c r="T32" s="44" t="n">
        <v>0.367</v>
      </c>
      <c r="U32" s="44" t="n">
        <v>0.384</v>
      </c>
      <c r="V32" s="44" t="n">
        <v>0.401</v>
      </c>
      <c r="W32" s="44" t="n">
        <v>0.418</v>
      </c>
      <c r="X32" s="44" t="n">
        <v>0.435</v>
      </c>
      <c r="Y32" s="44" t="n">
        <v>0.452</v>
      </c>
      <c r="Z32" s="44" t="n">
        <v>0.469</v>
      </c>
      <c r="AA32" s="44" t="n">
        <v>0.486</v>
      </c>
      <c r="AB32" s="44" t="n">
        <v>0.503</v>
      </c>
      <c r="AC32" s="44" t="n">
        <v>0.52</v>
      </c>
      <c r="AD32" s="44" t="n">
        <v>0.54</v>
      </c>
      <c r="AE32" s="44" t="n">
        <v>0.5600000000000001</v>
      </c>
      <c r="AF32" s="44" t="n">
        <v>0.58</v>
      </c>
      <c r="AG32" s="44" t="n">
        <v>0.6</v>
      </c>
      <c r="AH32" s="44" t="n">
        <v>0.62</v>
      </c>
      <c r="AI32" s="44" t="n">
        <v>0.64</v>
      </c>
      <c r="AJ32" s="44" t="n">
        <v>0.6599999999999999</v>
      </c>
      <c r="AK32" s="44" t="n">
        <v>0.6799999999999999</v>
      </c>
      <c r="AL32" s="44" t="n">
        <v>0.7</v>
      </c>
      <c r="AM32" s="44" t="n">
        <v>0.72</v>
      </c>
    </row>
    <row r="33" ht="17" customHeight="1">
      <c r="A33" s="2" t="inlineStr">
        <is>
          <t>总绿电量(万kWh)</t>
        </is>
      </c>
      <c r="B33" s="7" t="inlineStr">
        <is>
          <t>电力结构公式</t>
        </is>
      </c>
      <c r="C33" s="20">
        <f>C31*C32</f>
        <v/>
      </c>
      <c r="D33" s="20">
        <f>D31*D32</f>
        <v/>
      </c>
      <c r="E33" s="20">
        <f>E31*E32</f>
        <v/>
      </c>
      <c r="F33" s="20">
        <f>F31*F32</f>
        <v/>
      </c>
      <c r="G33" s="20">
        <f>G31*G32</f>
        <v/>
      </c>
      <c r="H33" s="20">
        <f>H31*H32</f>
        <v/>
      </c>
      <c r="I33" s="20">
        <f>I31*I32</f>
        <v/>
      </c>
      <c r="J33" s="20">
        <f>J31*J32</f>
        <v/>
      </c>
      <c r="K33" s="20">
        <f>K31*K32</f>
        <v/>
      </c>
      <c r="L33" s="20">
        <f>L31*L32</f>
        <v/>
      </c>
      <c r="M33" s="20">
        <f>M31*M32</f>
        <v/>
      </c>
      <c r="N33" s="20">
        <f>N31*N32</f>
        <v/>
      </c>
      <c r="O33" s="20">
        <f>O31*O32</f>
        <v/>
      </c>
      <c r="P33" s="20">
        <f>P31*P32</f>
        <v/>
      </c>
      <c r="Q33" s="20">
        <f>Q31*Q32</f>
        <v/>
      </c>
      <c r="R33" s="20">
        <f>R31*R32</f>
        <v/>
      </c>
      <c r="S33" s="20">
        <f>S31*S32</f>
        <v/>
      </c>
      <c r="T33" s="20">
        <f>T31*T32</f>
        <v/>
      </c>
      <c r="U33" s="20">
        <f>U31*U32</f>
        <v/>
      </c>
      <c r="V33" s="20">
        <f>V31*V32</f>
        <v/>
      </c>
      <c r="W33" s="20">
        <f>W31*W32</f>
        <v/>
      </c>
      <c r="X33" s="20">
        <f>X31*X32</f>
        <v/>
      </c>
      <c r="Y33" s="20">
        <f>Y31*Y32</f>
        <v/>
      </c>
      <c r="Z33" s="20">
        <f>Z31*Z32</f>
        <v/>
      </c>
      <c r="AA33" s="20">
        <f>AA31*AA32</f>
        <v/>
      </c>
      <c r="AB33" s="20">
        <f>AB31*AB32</f>
        <v/>
      </c>
      <c r="AC33" s="20">
        <f>AC31*AC32</f>
        <v/>
      </c>
      <c r="AD33" s="20">
        <f>AD31*AD32</f>
        <v/>
      </c>
      <c r="AE33" s="20">
        <f>AE31*AE32</f>
        <v/>
      </c>
      <c r="AF33" s="20">
        <f>AF31*AF32</f>
        <v/>
      </c>
      <c r="AG33" s="20">
        <f>AG31*AG32</f>
        <v/>
      </c>
      <c r="AH33" s="20">
        <f>AH31*AH32</f>
        <v/>
      </c>
      <c r="AI33" s="20">
        <f>AI31*AI32</f>
        <v/>
      </c>
      <c r="AJ33" s="20">
        <f>AJ31*AJ32</f>
        <v/>
      </c>
      <c r="AK33" s="20">
        <f>AK31*AK32</f>
        <v/>
      </c>
      <c r="AL33" s="20">
        <f>AL31*AL32</f>
        <v/>
      </c>
      <c r="AM33" s="20">
        <f>AM31*AM32</f>
        <v/>
      </c>
    </row>
    <row r="34" ht="17.5" customHeight="1">
      <c r="A34" s="34" t="inlineStr">
        <is>
          <t>Step 7: 低碳技术</t>
        </is>
      </c>
      <c r="B34" s="35" t="n"/>
      <c r="C34" s="35" t="n"/>
      <c r="D34" s="35" t="n"/>
      <c r="E34" s="35" t="n"/>
      <c r="F34" s="35" t="n"/>
      <c r="G34" s="35" t="n"/>
      <c r="H34" s="35" t="n"/>
      <c r="I34" s="35" t="n"/>
      <c r="J34" s="35" t="n"/>
      <c r="K34" s="35" t="n"/>
      <c r="L34" s="35" t="n"/>
      <c r="M34" s="35" t="n"/>
      <c r="N34" s="35" t="n"/>
      <c r="O34" s="35" t="n"/>
      <c r="P34" s="35" t="n"/>
      <c r="Q34" s="35" t="n"/>
      <c r="R34" s="35" t="n"/>
      <c r="S34" s="35" t="n"/>
      <c r="T34" s="35" t="n"/>
      <c r="U34" s="35" t="n"/>
      <c r="V34" s="35" t="n"/>
      <c r="W34" s="35" t="n"/>
      <c r="X34" s="35" t="n"/>
      <c r="Y34" s="35" t="n"/>
      <c r="Z34" s="35" t="n"/>
      <c r="AA34" s="35" t="n"/>
      <c r="AB34" s="35" t="n"/>
      <c r="AC34" s="35" t="n"/>
      <c r="AD34" s="35" t="n"/>
      <c r="AE34" s="35" t="n"/>
      <c r="AF34" s="35" t="n"/>
      <c r="AG34" s="35" t="n"/>
      <c r="AH34" s="35" t="n"/>
      <c r="AI34" s="35" t="n"/>
      <c r="AJ34" s="35" t="n"/>
      <c r="AK34" s="35" t="n"/>
      <c r="AL34" s="35" t="n"/>
      <c r="AM34" s="36" t="n"/>
    </row>
    <row r="35" ht="46" customHeight="1">
      <c r="A35" s="40" t="inlineStr">
        <is>
          <t>低碳技术名称</t>
        </is>
      </c>
      <c r="B35" s="7" t="inlineStr">
        <is>
          <t>逐年技术部署</t>
        </is>
      </c>
      <c r="C35" s="24" t="inlineStr">
        <is>
          <t>干熄焦技术(已部署,含于基准)</t>
        </is>
      </c>
      <c r="D35" s="24" t="inlineStr">
        <is>
          <t>厚料层烧结技术</t>
        </is>
      </c>
      <c r="E35" s="24" t="inlineStr">
        <is>
          <t>球团废热循环利用技术</t>
        </is>
      </c>
      <c r="F35" s="24" t="inlineStr">
        <is>
          <t>-</t>
        </is>
      </c>
      <c r="G35" s="24" t="inlineStr">
        <is>
          <t>高炉炉顶煤气干式余压发电技术(TRT)</t>
        </is>
      </c>
      <c r="H35" s="24" t="inlineStr">
        <is>
          <t>高炉冲渣水直接换热回收余热技术</t>
        </is>
      </c>
      <c r="I35" s="24" t="inlineStr">
        <is>
          <t>-</t>
        </is>
      </c>
      <c r="J35" s="24" t="inlineStr">
        <is>
          <t>转炉气体及显热回收技术</t>
        </is>
      </c>
      <c r="K35" s="24" t="inlineStr">
        <is>
          <t>转炉'负能炼钢'工艺技术</t>
        </is>
      </c>
      <c r="L35" s="24" t="inlineStr">
        <is>
          <t>钢包加盖技术</t>
        </is>
      </c>
      <c r="M35" s="24" t="inlineStr">
        <is>
          <t>钢包周转优化技术</t>
        </is>
      </c>
      <c r="N35" s="24" t="inlineStr">
        <is>
          <t>废钢预热技术</t>
        </is>
      </c>
      <c r="O35" s="24" t="inlineStr">
        <is>
          <t>电源及电控系统智能化控制技术</t>
        </is>
      </c>
      <c r="P35" s="24" t="inlineStr">
        <is>
          <t>电炉连续加料技术</t>
        </is>
      </c>
      <c r="Q35" s="24" t="inlineStr">
        <is>
          <t>-</t>
        </is>
      </c>
      <c r="R35" s="24" t="inlineStr">
        <is>
          <t>-</t>
        </is>
      </c>
      <c r="S35" s="24" t="inlineStr">
        <is>
          <t>-</t>
        </is>
      </c>
      <c r="T35" s="24" t="inlineStr">
        <is>
          <t>-</t>
        </is>
      </c>
      <c r="U35" s="24" t="inlineStr">
        <is>
          <t>-</t>
        </is>
      </c>
      <c r="V35" s="24" t="inlineStr">
        <is>
          <t>连铸坯热送热装技术</t>
        </is>
      </c>
      <c r="W35" s="24" t="inlineStr">
        <is>
          <t>-</t>
        </is>
      </c>
      <c r="X35" s="24" t="inlineStr">
        <is>
          <t>-</t>
        </is>
      </c>
      <c r="Y35" s="24" t="inlineStr">
        <is>
          <t>-</t>
        </is>
      </c>
      <c r="Z35" s="24" t="inlineStr">
        <is>
          <t>薄板坯连铸技术</t>
        </is>
      </c>
      <c r="AA35" s="24" t="inlineStr">
        <is>
          <t>-</t>
        </is>
      </c>
      <c r="AB35" s="24" t="inlineStr">
        <is>
          <t>-</t>
        </is>
      </c>
      <c r="AC35" s="24" t="inlineStr">
        <is>
          <t>-</t>
        </is>
      </c>
      <c r="AD35" s="24" t="inlineStr">
        <is>
          <t>-</t>
        </is>
      </c>
      <c r="AE35" s="24" t="inlineStr">
        <is>
          <t>-</t>
        </is>
      </c>
      <c r="AF35" s="24" t="inlineStr">
        <is>
          <t>-</t>
        </is>
      </c>
      <c r="AG35" s="24" t="inlineStr">
        <is>
          <t>-</t>
        </is>
      </c>
      <c r="AH35" s="24" t="inlineStr">
        <is>
          <t>-</t>
        </is>
      </c>
      <c r="AI35" s="24" t="inlineStr">
        <is>
          <t>-</t>
        </is>
      </c>
      <c r="AJ35" s="24" t="inlineStr">
        <is>
          <t>-</t>
        </is>
      </c>
      <c r="AK35" s="24" t="inlineStr">
        <is>
          <t>-</t>
        </is>
      </c>
      <c r="AL35" s="24" t="inlineStr">
        <is>
          <t>-</t>
        </is>
      </c>
      <c r="AM35" s="24" t="inlineStr">
        <is>
          <t>-</t>
        </is>
      </c>
    </row>
    <row r="36" ht="17" customHeight="1">
      <c r="A36" s="2" t="inlineStr">
        <is>
          <t>当年降碳潜力(tCO2/t)</t>
        </is>
      </c>
      <c r="B36" s="7" t="inlineStr">
        <is>
          <t>逐年假设(可调)</t>
        </is>
      </c>
      <c r="C36" s="45" t="n">
        <v>0</v>
      </c>
      <c r="D36" s="45" t="n">
        <v>0.0005</v>
      </c>
      <c r="E36" s="45" t="n">
        <v>0.001</v>
      </c>
      <c r="F36" s="45" t="n">
        <v>0.0015</v>
      </c>
      <c r="G36" s="45" t="n">
        <v>0.002</v>
      </c>
      <c r="H36" s="45" t="n">
        <v>0.0025</v>
      </c>
      <c r="I36" s="45" t="n">
        <v>0.003</v>
      </c>
      <c r="J36" s="45" t="n">
        <v>0.0044</v>
      </c>
      <c r="K36" s="45" t="n">
        <v>0.0058</v>
      </c>
      <c r="L36" s="45" t="n">
        <v>0.0072</v>
      </c>
      <c r="M36" s="45" t="n">
        <v>0.0086</v>
      </c>
      <c r="N36" s="45" t="n">
        <v>0.01</v>
      </c>
      <c r="O36" s="45" t="n">
        <v>0.0116</v>
      </c>
      <c r="P36" s="45" t="n">
        <v>0.0132</v>
      </c>
      <c r="Q36" s="45" t="n">
        <v>0.0148</v>
      </c>
      <c r="R36" s="45" t="n">
        <v>0.0164</v>
      </c>
      <c r="S36" s="45" t="n">
        <v>0.018</v>
      </c>
      <c r="T36" s="45" t="n">
        <v>0.0184</v>
      </c>
      <c r="U36" s="45" t="n">
        <v>0.0188</v>
      </c>
      <c r="V36" s="45" t="n">
        <v>0.0192</v>
      </c>
      <c r="W36" s="45" t="n">
        <v>0.0196</v>
      </c>
      <c r="X36" s="45" t="n">
        <v>0.02</v>
      </c>
      <c r="Y36" s="45" t="n">
        <v>0.0204</v>
      </c>
      <c r="Z36" s="45" t="n">
        <v>0.0208</v>
      </c>
      <c r="AA36" s="45" t="n">
        <v>0.0212</v>
      </c>
      <c r="AB36" s="45" t="n">
        <v>0.0216</v>
      </c>
      <c r="AC36" s="45" t="n">
        <v>0.022</v>
      </c>
      <c r="AD36" s="45" t="n">
        <v>0.0213</v>
      </c>
      <c r="AE36" s="45" t="n">
        <v>0.0206</v>
      </c>
      <c r="AF36" s="45" t="n">
        <v>0.0199</v>
      </c>
      <c r="AG36" s="45" t="n">
        <v>0.0192</v>
      </c>
      <c r="AH36" s="45" t="n">
        <v>0.0185</v>
      </c>
      <c r="AI36" s="45" t="n">
        <v>0.0178</v>
      </c>
      <c r="AJ36" s="45" t="n">
        <v>0.0171</v>
      </c>
      <c r="AK36" s="45" t="n">
        <v>0.0164</v>
      </c>
      <c r="AL36" s="45" t="n">
        <v>0.0157</v>
      </c>
      <c r="AM36" s="45" t="n">
        <v>0.015</v>
      </c>
    </row>
    <row r="37" ht="17" customHeight="1">
      <c r="A37" s="4" t="inlineStr">
        <is>
          <t>累计降碳潜力(tCO2/t)</t>
        </is>
      </c>
      <c r="B37" s="7">
        <f>上年累计+当年新增</f>
        <v/>
      </c>
      <c r="C37" s="46">
        <f>C36</f>
        <v/>
      </c>
      <c r="D37" s="46">
        <f>C37+D36</f>
        <v/>
      </c>
      <c r="E37" s="46">
        <f>D37+E36</f>
        <v/>
      </c>
      <c r="F37" s="46">
        <f>E37+F36</f>
        <v/>
      </c>
      <c r="G37" s="46">
        <f>F37+G36</f>
        <v/>
      </c>
      <c r="H37" s="46">
        <f>G37+H36</f>
        <v/>
      </c>
      <c r="I37" s="46">
        <f>H37+I36</f>
        <v/>
      </c>
      <c r="J37" s="46">
        <f>I37+J36</f>
        <v/>
      </c>
      <c r="K37" s="46">
        <f>J37+K36</f>
        <v/>
      </c>
      <c r="L37" s="46">
        <f>K37+L36</f>
        <v/>
      </c>
      <c r="M37" s="46">
        <f>L37+M36</f>
        <v/>
      </c>
      <c r="N37" s="46">
        <f>M37+N36</f>
        <v/>
      </c>
      <c r="O37" s="46">
        <f>N37+O36</f>
        <v/>
      </c>
      <c r="P37" s="46">
        <f>O37+P36</f>
        <v/>
      </c>
      <c r="Q37" s="46">
        <f>P37+Q36</f>
        <v/>
      </c>
      <c r="R37" s="46">
        <f>Q37+R36</f>
        <v/>
      </c>
      <c r="S37" s="46">
        <f>R37+S36</f>
        <v/>
      </c>
      <c r="T37" s="46">
        <f>S37+T36</f>
        <v/>
      </c>
      <c r="U37" s="46">
        <f>T37+U36</f>
        <v/>
      </c>
      <c r="V37" s="46">
        <f>U37+V36</f>
        <v/>
      </c>
      <c r="W37" s="46">
        <f>V37+W36</f>
        <v/>
      </c>
      <c r="X37" s="46">
        <f>W37+X36</f>
        <v/>
      </c>
      <c r="Y37" s="46">
        <f>X37+Y36</f>
        <v/>
      </c>
      <c r="Z37" s="46">
        <f>Y37+Z36</f>
        <v/>
      </c>
      <c r="AA37" s="46">
        <f>Z37+AA36</f>
        <v/>
      </c>
      <c r="AB37" s="46">
        <f>AA37+AB36</f>
        <v/>
      </c>
      <c r="AC37" s="46">
        <f>AB37+AC36</f>
        <v/>
      </c>
      <c r="AD37" s="46">
        <f>AC37+AD36</f>
        <v/>
      </c>
      <c r="AE37" s="46">
        <f>AD37+AE36</f>
        <v/>
      </c>
      <c r="AF37" s="46">
        <f>AE37+AF36</f>
        <v/>
      </c>
      <c r="AG37" s="46">
        <f>AF37+AG36</f>
        <v/>
      </c>
      <c r="AH37" s="46">
        <f>AG37+AH36</f>
        <v/>
      </c>
      <c r="AI37" s="46">
        <f>AH37+AI36</f>
        <v/>
      </c>
      <c r="AJ37" s="46">
        <f>AI37+AJ36</f>
        <v/>
      </c>
      <c r="AK37" s="46">
        <f>AJ37+AK36</f>
        <v/>
      </c>
      <c r="AL37" s="46">
        <f>AK37+AL36</f>
        <v/>
      </c>
      <c r="AM37" s="46">
        <f>AL37+AM36</f>
        <v/>
      </c>
    </row>
    <row r="38" ht="15" customHeight="1">
      <c r="A38" s="7" t="inlineStr">
        <is>
          <t>原始累计(含基准1.95内)</t>
        </is>
      </c>
      <c r="B38" s="7">
        <f>模型累计+0.066</f>
        <v/>
      </c>
      <c r="C38" s="47">
        <f>C37+0.066</f>
        <v/>
      </c>
      <c r="D38" s="47">
        <f>D37+0.066</f>
        <v/>
      </c>
      <c r="E38" s="47">
        <f>E37+0.066</f>
        <v/>
      </c>
      <c r="F38" s="47">
        <f>F37+0.066</f>
        <v/>
      </c>
      <c r="G38" s="47">
        <f>G37+0.066</f>
        <v/>
      </c>
      <c r="H38" s="47">
        <f>H37+0.066</f>
        <v/>
      </c>
      <c r="I38" s="47">
        <f>I37+0.066</f>
        <v/>
      </c>
      <c r="J38" s="47">
        <f>J37+0.066</f>
        <v/>
      </c>
      <c r="K38" s="47">
        <f>K37+0.066</f>
        <v/>
      </c>
      <c r="L38" s="47">
        <f>L37+0.066</f>
        <v/>
      </c>
      <c r="M38" s="47">
        <f>M37+0.066</f>
        <v/>
      </c>
      <c r="N38" s="47">
        <f>N37+0.066</f>
        <v/>
      </c>
      <c r="O38" s="47">
        <f>O37+0.066</f>
        <v/>
      </c>
      <c r="P38" s="47">
        <f>P37+0.066</f>
        <v/>
      </c>
      <c r="Q38" s="47">
        <f>Q37+0.066</f>
        <v/>
      </c>
      <c r="R38" s="47">
        <f>R37+0.066</f>
        <v/>
      </c>
      <c r="S38" s="47">
        <f>S37+0.066</f>
        <v/>
      </c>
      <c r="T38" s="47">
        <f>T37+0.066</f>
        <v/>
      </c>
      <c r="U38" s="47">
        <f>U37+0.066</f>
        <v/>
      </c>
      <c r="V38" s="47">
        <f>V37+0.066</f>
        <v/>
      </c>
      <c r="W38" s="47">
        <f>W37+0.066</f>
        <v/>
      </c>
      <c r="X38" s="47">
        <f>X37+0.066</f>
        <v/>
      </c>
      <c r="Y38" s="47">
        <f>Y37+0.066</f>
        <v/>
      </c>
      <c r="Z38" s="47">
        <f>Z37+0.066</f>
        <v/>
      </c>
      <c r="AA38" s="47">
        <f>AA37+0.066</f>
        <v/>
      </c>
      <c r="AB38" s="47">
        <f>AB37+0.066</f>
        <v/>
      </c>
      <c r="AC38" s="47">
        <f>AC37+0.066</f>
        <v/>
      </c>
      <c r="AD38" s="47">
        <f>AD37+0.066</f>
        <v/>
      </c>
      <c r="AE38" s="47">
        <f>AE37+0.066</f>
        <v/>
      </c>
      <c r="AF38" s="47">
        <f>AF37+0.066</f>
        <v/>
      </c>
      <c r="AG38" s="47">
        <f>AG37+0.066</f>
        <v/>
      </c>
      <c r="AH38" s="47">
        <f>AH37+0.066</f>
        <v/>
      </c>
      <c r="AI38" s="47">
        <f>AI37+0.066</f>
        <v/>
      </c>
      <c r="AJ38" s="47">
        <f>AJ37+0.066</f>
        <v/>
      </c>
      <c r="AK38" s="47">
        <f>AK37+0.066</f>
        <v/>
      </c>
      <c r="AL38" s="47">
        <f>AL37+0.066</f>
        <v/>
      </c>
      <c r="AM38" s="47">
        <f>AM37+0.066</f>
        <v/>
      </c>
    </row>
    <row r="39" ht="17.5" customHeight="1">
      <c r="A39" s="34" t="inlineStr">
        <is>
          <t>Step 8: 低碳发展测算表(Waterfall)</t>
        </is>
      </c>
      <c r="B39" s="35" t="n"/>
      <c r="C39" s="35" t="n"/>
      <c r="D39" s="35" t="n"/>
      <c r="E39" s="35" t="n"/>
      <c r="F39" s="35" t="n"/>
      <c r="G39" s="35" t="n"/>
      <c r="H39" s="35" t="n"/>
      <c r="I39" s="35" t="n"/>
      <c r="J39" s="35" t="n"/>
      <c r="K39" s="35" t="n"/>
      <c r="L39" s="35" t="n"/>
      <c r="M39" s="35" t="n"/>
      <c r="N39" s="35" t="n"/>
      <c r="O39" s="35" t="n"/>
      <c r="P39" s="35" t="n"/>
      <c r="Q39" s="35" t="n"/>
      <c r="R39" s="35" t="n"/>
      <c r="S39" s="35" t="n"/>
      <c r="T39" s="35" t="n"/>
      <c r="U39" s="35" t="n"/>
      <c r="V39" s="35" t="n"/>
      <c r="W39" s="35" t="n"/>
      <c r="X39" s="35" t="n"/>
      <c r="Y39" s="35" t="n"/>
      <c r="Z39" s="35" t="n"/>
      <c r="AA39" s="35" t="n"/>
      <c r="AB39" s="35" t="n"/>
      <c r="AC39" s="35" t="n"/>
      <c r="AD39" s="35" t="n"/>
      <c r="AE39" s="35" t="n"/>
      <c r="AF39" s="35" t="n"/>
      <c r="AG39" s="35" t="n"/>
      <c r="AH39" s="35" t="n"/>
      <c r="AI39" s="35" t="n"/>
      <c r="AJ39" s="35" t="n"/>
      <c r="AK39" s="35" t="n"/>
      <c r="AL39" s="35" t="n"/>
      <c r="AM39" s="36" t="n"/>
    </row>
    <row r="40">
      <c r="A40" s="40" t="inlineStr">
        <is>
          <t>8.1 产量变化</t>
        </is>
      </c>
      <c r="B40" s="35" t="n"/>
      <c r="C40" s="35" t="n"/>
      <c r="D40" s="35" t="n"/>
      <c r="E40" s="35" t="n"/>
      <c r="F40" s="35" t="n"/>
      <c r="G40" s="35" t="n"/>
      <c r="H40" s="35" t="n"/>
      <c r="I40" s="35" t="n"/>
      <c r="J40" s="35" t="n"/>
      <c r="K40" s="35" t="n"/>
      <c r="L40" s="35" t="n"/>
      <c r="M40" s="35" t="n"/>
      <c r="N40" s="35" t="n"/>
      <c r="O40" s="35" t="n"/>
      <c r="P40" s="35" t="n"/>
      <c r="Q40" s="35" t="n"/>
      <c r="R40" s="35" t="n"/>
      <c r="S40" s="35" t="n"/>
      <c r="T40" s="35" t="n"/>
      <c r="U40" s="35" t="n"/>
      <c r="V40" s="35" t="n"/>
      <c r="W40" s="35" t="n"/>
      <c r="X40" s="35" t="n"/>
      <c r="Y40" s="35" t="n"/>
      <c r="Z40" s="35" t="n"/>
      <c r="AA40" s="35" t="n"/>
      <c r="AB40" s="35" t="n"/>
      <c r="AC40" s="35" t="n"/>
      <c r="AD40" s="35" t="n"/>
      <c r="AE40" s="35" t="n"/>
      <c r="AF40" s="35" t="n"/>
      <c r="AG40" s="35" t="n"/>
      <c r="AH40" s="35" t="n"/>
      <c r="AI40" s="35" t="n"/>
      <c r="AJ40" s="35" t="n"/>
      <c r="AK40" s="35" t="n"/>
      <c r="AL40" s="35" t="n"/>
      <c r="AM40" s="36" t="n"/>
    </row>
    <row r="41" ht="17" customHeight="1">
      <c r="A41" s="2" t="inlineStr">
        <is>
          <t>产量变化碳排放曲线(万吨CO2)</t>
        </is>
      </c>
      <c r="B41" s="7">
        <f>粗钢产量×1.95</f>
        <v/>
      </c>
      <c r="C41" s="20">
        <f>C13*1.95</f>
        <v/>
      </c>
      <c r="D41" s="20">
        <f>D13*1.95</f>
        <v/>
      </c>
      <c r="E41" s="20">
        <f>E13*1.95</f>
        <v/>
      </c>
      <c r="F41" s="20">
        <f>F13*1.95</f>
        <v/>
      </c>
      <c r="G41" s="20">
        <f>G13*1.95</f>
        <v/>
      </c>
      <c r="H41" s="20">
        <f>H13*1.95</f>
        <v/>
      </c>
      <c r="I41" s="20">
        <f>I13*1.95</f>
        <v/>
      </c>
      <c r="J41" s="20">
        <f>J13*1.95</f>
        <v/>
      </c>
      <c r="K41" s="20">
        <f>K13*1.95</f>
        <v/>
      </c>
      <c r="L41" s="20">
        <f>L13*1.95</f>
        <v/>
      </c>
      <c r="M41" s="20">
        <f>M13*1.95</f>
        <v/>
      </c>
      <c r="N41" s="20">
        <f>N13*1.95</f>
        <v/>
      </c>
      <c r="O41" s="20">
        <f>O13*1.95</f>
        <v/>
      </c>
      <c r="P41" s="20">
        <f>P13*1.95</f>
        <v/>
      </c>
      <c r="Q41" s="20">
        <f>Q13*1.95</f>
        <v/>
      </c>
      <c r="R41" s="20">
        <f>R13*1.95</f>
        <v/>
      </c>
      <c r="S41" s="20">
        <f>S13*1.95</f>
        <v/>
      </c>
      <c r="T41" s="20">
        <f>T13*1.95</f>
        <v/>
      </c>
      <c r="U41" s="20">
        <f>U13*1.95</f>
        <v/>
      </c>
      <c r="V41" s="20">
        <f>V13*1.95</f>
        <v/>
      </c>
      <c r="W41" s="20">
        <f>W13*1.95</f>
        <v/>
      </c>
      <c r="X41" s="20">
        <f>X13*1.95</f>
        <v/>
      </c>
      <c r="Y41" s="20">
        <f>Y13*1.95</f>
        <v/>
      </c>
      <c r="Z41" s="20">
        <f>Z13*1.95</f>
        <v/>
      </c>
      <c r="AA41" s="20">
        <f>AA13*1.95</f>
        <v/>
      </c>
      <c r="AB41" s="20">
        <f>AB13*1.95</f>
        <v/>
      </c>
      <c r="AC41" s="20">
        <f>AC13*1.95</f>
        <v/>
      </c>
      <c r="AD41" s="20">
        <f>AD13*1.95</f>
        <v/>
      </c>
      <c r="AE41" s="20">
        <f>AE13*1.95</f>
        <v/>
      </c>
      <c r="AF41" s="20">
        <f>AF13*1.95</f>
        <v/>
      </c>
      <c r="AG41" s="20">
        <f>AG13*1.95</f>
        <v/>
      </c>
      <c r="AH41" s="20">
        <f>AH13*1.95</f>
        <v/>
      </c>
      <c r="AI41" s="20">
        <f>AI13*1.95</f>
        <v/>
      </c>
      <c r="AJ41" s="20">
        <f>AJ13*1.95</f>
        <v/>
      </c>
      <c r="AK41" s="20">
        <f>AK13*1.95</f>
        <v/>
      </c>
      <c r="AL41" s="20">
        <f>AL13*1.95</f>
        <v/>
      </c>
      <c r="AM41" s="20">
        <f>AM13*1.95</f>
        <v/>
      </c>
    </row>
    <row r="42" ht="17" customHeight="1">
      <c r="A42" s="2" t="inlineStr">
        <is>
          <t>产量变化降碳潜力(万吨CO2)</t>
        </is>
      </c>
      <c r="B42" s="7">
        <f>基准产量×1.95-当年曲线</f>
        <v/>
      </c>
      <c r="C42" s="20">
        <f>100509*1.95-C41</f>
        <v/>
      </c>
      <c r="D42" s="20">
        <f>100509*1.95-D41</f>
        <v/>
      </c>
      <c r="E42" s="20">
        <f>100509*1.95-E41</f>
        <v/>
      </c>
      <c r="F42" s="20">
        <f>100509*1.95-F41</f>
        <v/>
      </c>
      <c r="G42" s="20">
        <f>100509*1.95-G41</f>
        <v/>
      </c>
      <c r="H42" s="20">
        <f>100509*1.95-H41</f>
        <v/>
      </c>
      <c r="I42" s="20">
        <f>100509*1.95-I41</f>
        <v/>
      </c>
      <c r="J42" s="20">
        <f>100509*1.95-J41</f>
        <v/>
      </c>
      <c r="K42" s="20">
        <f>100509*1.95-K41</f>
        <v/>
      </c>
      <c r="L42" s="20">
        <f>100509*1.95-L41</f>
        <v/>
      </c>
      <c r="M42" s="20">
        <f>100509*1.95-M41</f>
        <v/>
      </c>
      <c r="N42" s="20">
        <f>100509*1.95-N41</f>
        <v/>
      </c>
      <c r="O42" s="20">
        <f>100509*1.95-O41</f>
        <v/>
      </c>
      <c r="P42" s="20">
        <f>100509*1.95-P41</f>
        <v/>
      </c>
      <c r="Q42" s="20">
        <f>100509*1.95-Q41</f>
        <v/>
      </c>
      <c r="R42" s="20">
        <f>100509*1.95-R41</f>
        <v/>
      </c>
      <c r="S42" s="20">
        <f>100509*1.95-S41</f>
        <v/>
      </c>
      <c r="T42" s="20">
        <f>100509*1.95-T41</f>
        <v/>
      </c>
      <c r="U42" s="20">
        <f>100509*1.95-U41</f>
        <v/>
      </c>
      <c r="V42" s="20">
        <f>100509*1.95-V41</f>
        <v/>
      </c>
      <c r="W42" s="20">
        <f>100509*1.95-W41</f>
        <v/>
      </c>
      <c r="X42" s="20">
        <f>100509*1.95-X41</f>
        <v/>
      </c>
      <c r="Y42" s="20">
        <f>100509*1.95-Y41</f>
        <v/>
      </c>
      <c r="Z42" s="20">
        <f>100509*1.95-Z41</f>
        <v/>
      </c>
      <c r="AA42" s="20">
        <f>100509*1.95-AA41</f>
        <v/>
      </c>
      <c r="AB42" s="20">
        <f>100509*1.95-AB41</f>
        <v/>
      </c>
      <c r="AC42" s="20">
        <f>100509*1.95-AC41</f>
        <v/>
      </c>
      <c r="AD42" s="20">
        <f>100509*1.95-AD41</f>
        <v/>
      </c>
      <c r="AE42" s="20">
        <f>100509*1.95-AE41</f>
        <v/>
      </c>
      <c r="AF42" s="20">
        <f>100509*1.95-AF41</f>
        <v/>
      </c>
      <c r="AG42" s="20">
        <f>100509*1.95-AG41</f>
        <v/>
      </c>
      <c r="AH42" s="20">
        <f>100509*1.95-AH41</f>
        <v/>
      </c>
      <c r="AI42" s="20">
        <f>100509*1.95-AI41</f>
        <v/>
      </c>
      <c r="AJ42" s="20">
        <f>100509*1.95-AJ41</f>
        <v/>
      </c>
      <c r="AK42" s="20">
        <f>100509*1.95-AK41</f>
        <v/>
      </c>
      <c r="AL42" s="20">
        <f>100509*1.95-AL41</f>
        <v/>
      </c>
      <c r="AM42" s="20">
        <f>100509*1.95-AM41</f>
        <v/>
      </c>
    </row>
    <row r="43">
      <c r="A43" s="40" t="inlineStr">
        <is>
          <t>8.2 原料结构优化</t>
        </is>
      </c>
      <c r="B43" s="35" t="n"/>
      <c r="C43" s="35" t="n"/>
      <c r="D43" s="35" t="n"/>
      <c r="E43" s="35" t="n"/>
      <c r="F43" s="35" t="n"/>
      <c r="G43" s="35" t="n"/>
      <c r="H43" s="35" t="n"/>
      <c r="I43" s="35" t="n"/>
      <c r="J43" s="35" t="n"/>
      <c r="K43" s="35" t="n"/>
      <c r="L43" s="35" t="n"/>
      <c r="M43" s="35" t="n"/>
      <c r="N43" s="35" t="n"/>
      <c r="O43" s="35" t="n"/>
      <c r="P43" s="35" t="n"/>
      <c r="Q43" s="35" t="n"/>
      <c r="R43" s="35" t="n"/>
      <c r="S43" s="35" t="n"/>
      <c r="T43" s="35" t="n"/>
      <c r="U43" s="35" t="n"/>
      <c r="V43" s="35" t="n"/>
      <c r="W43" s="35" t="n"/>
      <c r="X43" s="35" t="n"/>
      <c r="Y43" s="35" t="n"/>
      <c r="Z43" s="35" t="n"/>
      <c r="AA43" s="35" t="n"/>
      <c r="AB43" s="35" t="n"/>
      <c r="AC43" s="35" t="n"/>
      <c r="AD43" s="35" t="n"/>
      <c r="AE43" s="35" t="n"/>
      <c r="AF43" s="35" t="n"/>
      <c r="AG43" s="35" t="n"/>
      <c r="AH43" s="35" t="n"/>
      <c r="AI43" s="35" t="n"/>
      <c r="AJ43" s="35" t="n"/>
      <c r="AK43" s="35" t="n"/>
      <c r="AL43" s="35" t="n"/>
      <c r="AM43" s="36" t="n"/>
    </row>
    <row r="44" ht="17" customHeight="1">
      <c r="A44" s="2" t="inlineStr">
        <is>
          <t>原料优化降碳潜力(万吨CO2)</t>
        </is>
      </c>
      <c r="B44" s="7" t="n"/>
      <c r="C44" s="20">
        <f>((C28-38394.44)/1.1)*(1.8-0.45)</f>
        <v/>
      </c>
      <c r="D44" s="20">
        <f>((D28-38394.44)/1.1)*(1.8-0.45)</f>
        <v/>
      </c>
      <c r="E44" s="20">
        <f>((E28-38394.44)/1.1)*(1.8-0.45)</f>
        <v/>
      </c>
      <c r="F44" s="20">
        <f>((F28-38394.44)/1.1)*(1.8-0.45)</f>
        <v/>
      </c>
      <c r="G44" s="20">
        <f>((G28-38394.44)/1.1)*(1.8-0.45)</f>
        <v/>
      </c>
      <c r="H44" s="20">
        <f>((H28-38394.44)/1.1)*(1.8-0.45)</f>
        <v/>
      </c>
      <c r="I44" s="20">
        <f>((I28-38394.44)/1.1)*(1.8-0.45)</f>
        <v/>
      </c>
      <c r="J44" s="20">
        <f>((J28-38394.44)/1.1)*(1.8-0.45)</f>
        <v/>
      </c>
      <c r="K44" s="20">
        <f>((K28-38394.44)/1.1)*(1.8-0.45)</f>
        <v/>
      </c>
      <c r="L44" s="20">
        <f>((L28-38394.44)/1.1)*(1.8-0.45)</f>
        <v/>
      </c>
      <c r="M44" s="20">
        <f>((M28-38394.44)/1.1)*(1.8-0.45)</f>
        <v/>
      </c>
      <c r="N44" s="20">
        <f>((N28-38394.44)/1.1)*(1.8-0.45)</f>
        <v/>
      </c>
      <c r="O44" s="20">
        <f>((O28-38394.44)/1.1)*(1.8-0.45)</f>
        <v/>
      </c>
      <c r="P44" s="20">
        <f>((P28-38394.44)/1.1)*(1.8-0.45)</f>
        <v/>
      </c>
      <c r="Q44" s="20">
        <f>((Q28-38394.44)/1.1)*(1.8-0.45)</f>
        <v/>
      </c>
      <c r="R44" s="20">
        <f>((R28-38394.44)/1.1)*(1.8-0.45)</f>
        <v/>
      </c>
      <c r="S44" s="20">
        <f>((S28-38394.44)/1.1)*(1.8-0.45)</f>
        <v/>
      </c>
      <c r="T44" s="20">
        <f>((T28-38394.44)/1.1)*(1.8-0.45)</f>
        <v/>
      </c>
      <c r="U44" s="20">
        <f>((U28-38394.44)/1.1)*(1.8-0.45)</f>
        <v/>
      </c>
      <c r="V44" s="20">
        <f>((V28-38394.44)/1.1)*(1.8-0.45)</f>
        <v/>
      </c>
      <c r="W44" s="20">
        <f>((W28-38394.44)/1.1)*(1.8-0.45)</f>
        <v/>
      </c>
      <c r="X44" s="20">
        <f>((X28-38394.44)/1.1)*(1.8-0.45)</f>
        <v/>
      </c>
      <c r="Y44" s="20">
        <f>((Y28-38394.44)/1.1)*(1.8-0.45)</f>
        <v/>
      </c>
      <c r="Z44" s="20">
        <f>((Z28-38394.44)/1.1)*(1.8-0.45)</f>
        <v/>
      </c>
      <c r="AA44" s="20">
        <f>((AA28-38394.44)/1.1)*(1.8-0.45)</f>
        <v/>
      </c>
      <c r="AB44" s="20">
        <f>((AB28-38394.44)/1.1)*(1.8-0.45)</f>
        <v/>
      </c>
      <c r="AC44" s="20">
        <f>((AC28-38394.44)/1.1)*(1.8-0.45)</f>
        <v/>
      </c>
      <c r="AD44" s="20">
        <f>((AD28-38394.44)/1.1)*(1.8-0.45)</f>
        <v/>
      </c>
      <c r="AE44" s="20">
        <f>((AE28-38394.44)/1.1)*(1.8-0.45)</f>
        <v/>
      </c>
      <c r="AF44" s="20">
        <f>((AF28-38394.44)/1.1)*(1.8-0.45)</f>
        <v/>
      </c>
      <c r="AG44" s="20">
        <f>((AG28-38394.44)/1.1)*(1.8-0.45)</f>
        <v/>
      </c>
      <c r="AH44" s="20">
        <f>((AH28-38394.44)/1.1)*(1.8-0.45)</f>
        <v/>
      </c>
      <c r="AI44" s="20">
        <f>((AI28-38394.44)/1.1)*(1.8-0.45)</f>
        <v/>
      </c>
      <c r="AJ44" s="20">
        <f>((AJ28-38394.44)/1.1)*(1.8-0.45)</f>
        <v/>
      </c>
      <c r="AK44" s="20">
        <f>((AK28-38394.44)/1.1)*(1.8-0.45)</f>
        <v/>
      </c>
      <c r="AL44" s="20">
        <f>((AL28-38394.44)/1.1)*(1.8-0.45)</f>
        <v/>
      </c>
      <c r="AM44" s="20">
        <f>((AM28-38394.44)/1.1)*(1.8-0.45)</f>
        <v/>
      </c>
    </row>
    <row r="45" ht="17" customHeight="1">
      <c r="A45" s="2" t="inlineStr">
        <is>
          <t>原料优化碳排放曲线(万吨CO2)</t>
        </is>
      </c>
      <c r="B45" s="7">
        <f>产量曲线-原料降碳</f>
        <v/>
      </c>
      <c r="C45" s="20">
        <f>C41-C44</f>
        <v/>
      </c>
      <c r="D45" s="20">
        <f>D41-D44</f>
        <v/>
      </c>
      <c r="E45" s="20">
        <f>E41-E44</f>
        <v/>
      </c>
      <c r="F45" s="20">
        <f>F41-F44</f>
        <v/>
      </c>
      <c r="G45" s="20">
        <f>G41-G44</f>
        <v/>
      </c>
      <c r="H45" s="20">
        <f>H41-H44</f>
        <v/>
      </c>
      <c r="I45" s="20">
        <f>I41-I44</f>
        <v/>
      </c>
      <c r="J45" s="20">
        <f>J41-J44</f>
        <v/>
      </c>
      <c r="K45" s="20">
        <f>K41-K44</f>
        <v/>
      </c>
      <c r="L45" s="20">
        <f>L41-L44</f>
        <v/>
      </c>
      <c r="M45" s="20">
        <f>M41-M44</f>
        <v/>
      </c>
      <c r="N45" s="20">
        <f>N41-N44</f>
        <v/>
      </c>
      <c r="O45" s="20">
        <f>O41-O44</f>
        <v/>
      </c>
      <c r="P45" s="20">
        <f>P41-P44</f>
        <v/>
      </c>
      <c r="Q45" s="20">
        <f>Q41-Q44</f>
        <v/>
      </c>
      <c r="R45" s="20">
        <f>R41-R44</f>
        <v/>
      </c>
      <c r="S45" s="20">
        <f>S41-S44</f>
        <v/>
      </c>
      <c r="T45" s="20">
        <f>T41-T44</f>
        <v/>
      </c>
      <c r="U45" s="20">
        <f>U41-U44</f>
        <v/>
      </c>
      <c r="V45" s="20">
        <f>V41-V44</f>
        <v/>
      </c>
      <c r="W45" s="20">
        <f>W41-W44</f>
        <v/>
      </c>
      <c r="X45" s="20">
        <f>X41-X44</f>
        <v/>
      </c>
      <c r="Y45" s="20">
        <f>Y41-Y44</f>
        <v/>
      </c>
      <c r="Z45" s="20">
        <f>Z41-Z44</f>
        <v/>
      </c>
      <c r="AA45" s="20">
        <f>AA41-AA44</f>
        <v/>
      </c>
      <c r="AB45" s="20">
        <f>AB41-AB44</f>
        <v/>
      </c>
      <c r="AC45" s="20">
        <f>AC41-AC44</f>
        <v/>
      </c>
      <c r="AD45" s="20">
        <f>AD41-AD44</f>
        <v/>
      </c>
      <c r="AE45" s="20">
        <f>AE41-AE44</f>
        <v/>
      </c>
      <c r="AF45" s="20">
        <f>AF41-AF44</f>
        <v/>
      </c>
      <c r="AG45" s="20">
        <f>AG41-AG44</f>
        <v/>
      </c>
      <c r="AH45" s="20">
        <f>AH41-AH44</f>
        <v/>
      </c>
      <c r="AI45" s="20">
        <f>AI41-AI44</f>
        <v/>
      </c>
      <c r="AJ45" s="20">
        <f>AJ41-AJ44</f>
        <v/>
      </c>
      <c r="AK45" s="20">
        <f>AK41-AK44</f>
        <v/>
      </c>
      <c r="AL45" s="20">
        <f>AL41-AL44</f>
        <v/>
      </c>
      <c r="AM45" s="20">
        <f>AM41-AM44</f>
        <v/>
      </c>
    </row>
    <row r="46">
      <c r="A46" s="40" t="inlineStr">
        <is>
          <t>8.3 短流程比例提升</t>
        </is>
      </c>
      <c r="B46" s="35" t="n"/>
      <c r="C46" s="35" t="n"/>
      <c r="D46" s="35" t="n"/>
      <c r="E46" s="35" t="n"/>
      <c r="F46" s="35" t="n"/>
      <c r="G46" s="35" t="n"/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5" t="n"/>
      <c r="S46" s="35" t="n"/>
      <c r="T46" s="35" t="n"/>
      <c r="U46" s="35" t="n"/>
      <c r="V46" s="35" t="n"/>
      <c r="W46" s="35" t="n"/>
      <c r="X46" s="35" t="n"/>
      <c r="Y46" s="35" t="n"/>
      <c r="Z46" s="35" t="n"/>
      <c r="AA46" s="35" t="n"/>
      <c r="AB46" s="35" t="n"/>
      <c r="AC46" s="35" t="n"/>
      <c r="AD46" s="35" t="n"/>
      <c r="AE46" s="35" t="n"/>
      <c r="AF46" s="35" t="n"/>
      <c r="AG46" s="35" t="n"/>
      <c r="AH46" s="35" t="n"/>
      <c r="AI46" s="35" t="n"/>
      <c r="AJ46" s="35" t="n"/>
      <c r="AK46" s="35" t="n"/>
      <c r="AL46" s="35" t="n"/>
      <c r="AM46" s="36" t="n"/>
    </row>
    <row r="47" ht="17" customHeight="1">
      <c r="A47" s="2" t="inlineStr">
        <is>
          <t>短流程提升降碳潜力(万吨CO2)</t>
        </is>
      </c>
      <c r="B47" s="7" t="n"/>
      <c r="C47" s="20">
        <f>(C25-11055.99)*1.26</f>
        <v/>
      </c>
      <c r="D47" s="20">
        <f>(D25-11055.99)*1.26</f>
        <v/>
      </c>
      <c r="E47" s="20">
        <f>(E25-11055.99)*1.26</f>
        <v/>
      </c>
      <c r="F47" s="20">
        <f>(F25-11055.99)*1.26</f>
        <v/>
      </c>
      <c r="G47" s="20">
        <f>(G25-11055.99)*1.26</f>
        <v/>
      </c>
      <c r="H47" s="20">
        <f>(H25-11055.99)*1.26</f>
        <v/>
      </c>
      <c r="I47" s="20">
        <f>(I25-11055.99)*1.26</f>
        <v/>
      </c>
      <c r="J47" s="20">
        <f>(J25-11055.99)*1.26</f>
        <v/>
      </c>
      <c r="K47" s="20">
        <f>(K25-11055.99)*1.26</f>
        <v/>
      </c>
      <c r="L47" s="20">
        <f>(L25-11055.99)*1.26</f>
        <v/>
      </c>
      <c r="M47" s="20">
        <f>(M25-11055.99)*1.26</f>
        <v/>
      </c>
      <c r="N47" s="20">
        <f>(N25-11055.99)*1.26</f>
        <v/>
      </c>
      <c r="O47" s="20">
        <f>(O25-11055.99)*1.26</f>
        <v/>
      </c>
      <c r="P47" s="20">
        <f>(P25-11055.99)*1.26</f>
        <v/>
      </c>
      <c r="Q47" s="20">
        <f>(Q25-11055.99)*1.26</f>
        <v/>
      </c>
      <c r="R47" s="20">
        <f>(R25-11055.99)*1.26</f>
        <v/>
      </c>
      <c r="S47" s="20">
        <f>(S25-11055.99)*1.26</f>
        <v/>
      </c>
      <c r="T47" s="20">
        <f>(T25-11055.99)*1.26</f>
        <v/>
      </c>
      <c r="U47" s="20">
        <f>(U25-11055.99)*1.26</f>
        <v/>
      </c>
      <c r="V47" s="20">
        <f>(V25-11055.99)*1.26</f>
        <v/>
      </c>
      <c r="W47" s="20">
        <f>(W25-11055.99)*1.26</f>
        <v/>
      </c>
      <c r="X47" s="20">
        <f>(X25-11055.99)*1.26</f>
        <v/>
      </c>
      <c r="Y47" s="20">
        <f>(Y25-11055.99)*1.26</f>
        <v/>
      </c>
      <c r="Z47" s="20">
        <f>(Z25-11055.99)*1.26</f>
        <v/>
      </c>
      <c r="AA47" s="20">
        <f>(AA25-11055.99)*1.26</f>
        <v/>
      </c>
      <c r="AB47" s="20">
        <f>(AB25-11055.99)*1.26</f>
        <v/>
      </c>
      <c r="AC47" s="20">
        <f>(AC25-11055.99)*1.26</f>
        <v/>
      </c>
      <c r="AD47" s="20">
        <f>(AD25-11055.99)*1.26</f>
        <v/>
      </c>
      <c r="AE47" s="20">
        <f>(AE25-11055.99)*1.26</f>
        <v/>
      </c>
      <c r="AF47" s="20">
        <f>(AF25-11055.99)*1.26</f>
        <v/>
      </c>
      <c r="AG47" s="20">
        <f>(AG25-11055.99)*1.26</f>
        <v/>
      </c>
      <c r="AH47" s="20">
        <f>(AH25-11055.99)*1.26</f>
        <v/>
      </c>
      <c r="AI47" s="20">
        <f>(AI25-11055.99)*1.26</f>
        <v/>
      </c>
      <c r="AJ47" s="20">
        <f>(AJ25-11055.99)*1.26</f>
        <v/>
      </c>
      <c r="AK47" s="20">
        <f>(AK25-11055.99)*1.26</f>
        <v/>
      </c>
      <c r="AL47" s="20">
        <f>(AL25-11055.99)*1.26</f>
        <v/>
      </c>
      <c r="AM47" s="20">
        <f>(AM25-11055.99)*1.26</f>
        <v/>
      </c>
    </row>
    <row r="48" ht="17" customHeight="1">
      <c r="A48" s="2" t="inlineStr">
        <is>
          <t>短流程提升碳排放曲线(万吨CO2)</t>
        </is>
      </c>
      <c r="B48" s="7">
        <f>原料曲线-短流程降碳</f>
        <v/>
      </c>
      <c r="C48" s="20">
        <f>C45-C47</f>
        <v/>
      </c>
      <c r="D48" s="20">
        <f>D45-D47</f>
        <v/>
      </c>
      <c r="E48" s="20">
        <f>E45-E47</f>
        <v/>
      </c>
      <c r="F48" s="20">
        <f>F45-F47</f>
        <v/>
      </c>
      <c r="G48" s="20">
        <f>G45-G47</f>
        <v/>
      </c>
      <c r="H48" s="20">
        <f>H45-H47</f>
        <v/>
      </c>
      <c r="I48" s="20">
        <f>I45-I47</f>
        <v/>
      </c>
      <c r="J48" s="20">
        <f>J45-J47</f>
        <v/>
      </c>
      <c r="K48" s="20">
        <f>K45-K47</f>
        <v/>
      </c>
      <c r="L48" s="20">
        <f>L45-L47</f>
        <v/>
      </c>
      <c r="M48" s="20">
        <f>M45-M47</f>
        <v/>
      </c>
      <c r="N48" s="20">
        <f>N45-N47</f>
        <v/>
      </c>
      <c r="O48" s="20">
        <f>O45-O47</f>
        <v/>
      </c>
      <c r="P48" s="20">
        <f>P45-P47</f>
        <v/>
      </c>
      <c r="Q48" s="20">
        <f>Q45-Q47</f>
        <v/>
      </c>
      <c r="R48" s="20">
        <f>R45-R47</f>
        <v/>
      </c>
      <c r="S48" s="20">
        <f>S45-S47</f>
        <v/>
      </c>
      <c r="T48" s="20">
        <f>T45-T47</f>
        <v/>
      </c>
      <c r="U48" s="20">
        <f>U45-U47</f>
        <v/>
      </c>
      <c r="V48" s="20">
        <f>V45-V47</f>
        <v/>
      </c>
      <c r="W48" s="20">
        <f>W45-W47</f>
        <v/>
      </c>
      <c r="X48" s="20">
        <f>X45-X47</f>
        <v/>
      </c>
      <c r="Y48" s="20">
        <f>Y45-Y47</f>
        <v/>
      </c>
      <c r="Z48" s="20">
        <f>Z45-Z47</f>
        <v/>
      </c>
      <c r="AA48" s="20">
        <f>AA45-AA47</f>
        <v/>
      </c>
      <c r="AB48" s="20">
        <f>AB45-AB47</f>
        <v/>
      </c>
      <c r="AC48" s="20">
        <f>AC45-AC47</f>
        <v/>
      </c>
      <c r="AD48" s="20">
        <f>AD45-AD47</f>
        <v/>
      </c>
      <c r="AE48" s="20">
        <f>AE45-AE47</f>
        <v/>
      </c>
      <c r="AF48" s="20">
        <f>AF45-AF47</f>
        <v/>
      </c>
      <c r="AG48" s="20">
        <f>AG45-AG47</f>
        <v/>
      </c>
      <c r="AH48" s="20">
        <f>AH45-AH47</f>
        <v/>
      </c>
      <c r="AI48" s="20">
        <f>AI45-AI47</f>
        <v/>
      </c>
      <c r="AJ48" s="20">
        <f>AJ45-AJ47</f>
        <v/>
      </c>
      <c r="AK48" s="20">
        <f>AK45-AK47</f>
        <v/>
      </c>
      <c r="AL48" s="20">
        <f>AL45-AL47</f>
        <v/>
      </c>
      <c r="AM48" s="20">
        <f>AM45-AM47</f>
        <v/>
      </c>
    </row>
    <row r="49">
      <c r="A49" s="40" t="inlineStr">
        <is>
          <t>8.4 氢冶金比例提升</t>
        </is>
      </c>
      <c r="B49" s="35" t="n"/>
      <c r="C49" s="35" t="n"/>
      <c r="D49" s="35" t="n"/>
      <c r="E49" s="35" t="n"/>
      <c r="F49" s="35" t="n"/>
      <c r="G49" s="35" t="n"/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5" t="n"/>
      <c r="S49" s="35" t="n"/>
      <c r="T49" s="35" t="n"/>
      <c r="U49" s="35" t="n"/>
      <c r="V49" s="35" t="n"/>
      <c r="W49" s="35" t="n"/>
      <c r="X49" s="35" t="n"/>
      <c r="Y49" s="35" t="n"/>
      <c r="Z49" s="35" t="n"/>
      <c r="AA49" s="35" t="n"/>
      <c r="AB49" s="35" t="n"/>
      <c r="AC49" s="35" t="n"/>
      <c r="AD49" s="35" t="n"/>
      <c r="AE49" s="35" t="n"/>
      <c r="AF49" s="35" t="n"/>
      <c r="AG49" s="35" t="n"/>
      <c r="AH49" s="35" t="n"/>
      <c r="AI49" s="35" t="n"/>
      <c r="AJ49" s="35" t="n"/>
      <c r="AK49" s="35" t="n"/>
      <c r="AL49" s="35" t="n"/>
      <c r="AM49" s="36" t="n"/>
    </row>
    <row r="50" ht="17" customHeight="1">
      <c r="A50" s="2" t="inlineStr">
        <is>
          <t>氢冶金提升降碳潜力(万吨CO2)</t>
        </is>
      </c>
      <c r="B50" s="7" t="n"/>
      <c r="C50" s="20">
        <f>((C27-952.52)/1.65)*1.26</f>
        <v/>
      </c>
      <c r="D50" s="20">
        <f>((D27-952.52)/1.65)*1.26</f>
        <v/>
      </c>
      <c r="E50" s="20">
        <f>((E27-952.52)/1.65)*1.26</f>
        <v/>
      </c>
      <c r="F50" s="20">
        <f>((F27-952.52)/1.65)*1.26</f>
        <v/>
      </c>
      <c r="G50" s="20">
        <f>((G27-952.52)/1.65)*1.26</f>
        <v/>
      </c>
      <c r="H50" s="20">
        <f>((H27-952.52)/1.65)*1.26</f>
        <v/>
      </c>
      <c r="I50" s="20">
        <f>((I27-952.52)/1.65)*1.26</f>
        <v/>
      </c>
      <c r="J50" s="20">
        <f>((J27-952.52)/1.65)*1.26</f>
        <v/>
      </c>
      <c r="K50" s="20">
        <f>((K27-952.52)/1.65)*1.26</f>
        <v/>
      </c>
      <c r="L50" s="20">
        <f>((L27-952.52)/1.65)*1.26</f>
        <v/>
      </c>
      <c r="M50" s="20">
        <f>((M27-952.52)/1.65)*1.26</f>
        <v/>
      </c>
      <c r="N50" s="20">
        <f>((N27-952.52)/1.65)*1.26</f>
        <v/>
      </c>
      <c r="O50" s="20">
        <f>((O27-952.52)/1.65)*1.26</f>
        <v/>
      </c>
      <c r="P50" s="20">
        <f>((P27-952.52)/1.65)*1.26</f>
        <v/>
      </c>
      <c r="Q50" s="20">
        <f>((Q27-952.52)/1.65)*1.26</f>
        <v/>
      </c>
      <c r="R50" s="20">
        <f>((R27-952.52)/1.65)*1.26</f>
        <v/>
      </c>
      <c r="S50" s="20">
        <f>((S27-952.52)/1.65)*1.26</f>
        <v/>
      </c>
      <c r="T50" s="20">
        <f>((T27-952.52)/1.65)*1.26</f>
        <v/>
      </c>
      <c r="U50" s="20">
        <f>((U27-952.52)/1.65)*1.26</f>
        <v/>
      </c>
      <c r="V50" s="20">
        <f>((V27-952.52)/1.65)*1.26</f>
        <v/>
      </c>
      <c r="W50" s="20">
        <f>((W27-952.52)/1.65)*1.26</f>
        <v/>
      </c>
      <c r="X50" s="20">
        <f>((X27-952.52)/1.65)*1.26</f>
        <v/>
      </c>
      <c r="Y50" s="20">
        <f>((Y27-952.52)/1.65)*1.26</f>
        <v/>
      </c>
      <c r="Z50" s="20">
        <f>((Z27-952.52)/1.65)*1.26</f>
        <v/>
      </c>
      <c r="AA50" s="20">
        <f>((AA27-952.52)/1.65)*1.26</f>
        <v/>
      </c>
      <c r="AB50" s="20">
        <f>((AB27-952.52)/1.65)*1.26</f>
        <v/>
      </c>
      <c r="AC50" s="20">
        <f>((AC27-952.52)/1.65)*1.26</f>
        <v/>
      </c>
      <c r="AD50" s="20">
        <f>((AD27-952.52)/1.65)*1.26</f>
        <v/>
      </c>
      <c r="AE50" s="20">
        <f>((AE27-952.52)/1.65)*1.26</f>
        <v/>
      </c>
      <c r="AF50" s="20">
        <f>((AF27-952.52)/1.65)*1.26</f>
        <v/>
      </c>
      <c r="AG50" s="20">
        <f>((AG27-952.52)/1.65)*1.26</f>
        <v/>
      </c>
      <c r="AH50" s="20">
        <f>((AH27-952.52)/1.65)*1.26</f>
        <v/>
      </c>
      <c r="AI50" s="20">
        <f>((AI27-952.52)/1.65)*1.26</f>
        <v/>
      </c>
      <c r="AJ50" s="20">
        <f>((AJ27-952.52)/1.65)*1.26</f>
        <v/>
      </c>
      <c r="AK50" s="20">
        <f>((AK27-952.52)/1.65)*1.26</f>
        <v/>
      </c>
      <c r="AL50" s="20">
        <f>((AL27-952.52)/1.65)*1.26</f>
        <v/>
      </c>
      <c r="AM50" s="20">
        <f>((AM27-952.52)/1.65)*1.26</f>
        <v/>
      </c>
    </row>
    <row r="51" ht="17" customHeight="1">
      <c r="A51" s="2" t="inlineStr">
        <is>
          <t>氢冶金提升碳排放曲线(万吨CO2)</t>
        </is>
      </c>
      <c r="B51" s="7">
        <f>短流程曲线-氢冶金降碳</f>
        <v/>
      </c>
      <c r="C51" s="20">
        <f>C48-C50</f>
        <v/>
      </c>
      <c r="D51" s="20">
        <f>D48-D50</f>
        <v/>
      </c>
      <c r="E51" s="20">
        <f>E48-E50</f>
        <v/>
      </c>
      <c r="F51" s="20">
        <f>F48-F50</f>
        <v/>
      </c>
      <c r="G51" s="20">
        <f>G48-G50</f>
        <v/>
      </c>
      <c r="H51" s="20">
        <f>H48-H50</f>
        <v/>
      </c>
      <c r="I51" s="20">
        <f>I48-I50</f>
        <v/>
      </c>
      <c r="J51" s="20">
        <f>J48-J50</f>
        <v/>
      </c>
      <c r="K51" s="20">
        <f>K48-K50</f>
        <v/>
      </c>
      <c r="L51" s="20">
        <f>L48-L50</f>
        <v/>
      </c>
      <c r="M51" s="20">
        <f>M48-M50</f>
        <v/>
      </c>
      <c r="N51" s="20">
        <f>N48-N50</f>
        <v/>
      </c>
      <c r="O51" s="20">
        <f>O48-O50</f>
        <v/>
      </c>
      <c r="P51" s="20">
        <f>P48-P50</f>
        <v/>
      </c>
      <c r="Q51" s="20">
        <f>Q48-Q50</f>
        <v/>
      </c>
      <c r="R51" s="20">
        <f>R48-R50</f>
        <v/>
      </c>
      <c r="S51" s="20">
        <f>S48-S50</f>
        <v/>
      </c>
      <c r="T51" s="20">
        <f>T48-T50</f>
        <v/>
      </c>
      <c r="U51" s="20">
        <f>U48-U50</f>
        <v/>
      </c>
      <c r="V51" s="20">
        <f>V48-V50</f>
        <v/>
      </c>
      <c r="W51" s="20">
        <f>W48-W50</f>
        <v/>
      </c>
      <c r="X51" s="20">
        <f>X48-X50</f>
        <v/>
      </c>
      <c r="Y51" s="20">
        <f>Y48-Y50</f>
        <v/>
      </c>
      <c r="Z51" s="20">
        <f>Z48-Z50</f>
        <v/>
      </c>
      <c r="AA51" s="20">
        <f>AA48-AA50</f>
        <v/>
      </c>
      <c r="AB51" s="20">
        <f>AB48-AB50</f>
        <v/>
      </c>
      <c r="AC51" s="20">
        <f>AC48-AC50</f>
        <v/>
      </c>
      <c r="AD51" s="20">
        <f>AD48-AD50</f>
        <v/>
      </c>
      <c r="AE51" s="20">
        <f>AE48-AE50</f>
        <v/>
      </c>
      <c r="AF51" s="20">
        <f>AF48-AF50</f>
        <v/>
      </c>
      <c r="AG51" s="20">
        <f>AG48-AG50</f>
        <v/>
      </c>
      <c r="AH51" s="20">
        <f>AH48-AH50</f>
        <v/>
      </c>
      <c r="AI51" s="20">
        <f>AI48-AI50</f>
        <v/>
      </c>
      <c r="AJ51" s="20">
        <f>AJ48-AJ50</f>
        <v/>
      </c>
      <c r="AK51" s="20">
        <f>AK48-AK50</f>
        <v/>
      </c>
      <c r="AL51" s="20">
        <f>AL48-AL50</f>
        <v/>
      </c>
      <c r="AM51" s="20">
        <f>AM48-AM50</f>
        <v/>
      </c>
    </row>
    <row r="52">
      <c r="A52" s="40" t="inlineStr">
        <is>
          <t>8.5 能源结构(绿电)</t>
        </is>
      </c>
      <c r="B52" s="35" t="n"/>
      <c r="C52" s="35" t="n"/>
      <c r="D52" s="35" t="n"/>
      <c r="E52" s="35" t="n"/>
      <c r="F52" s="35" t="n"/>
      <c r="G52" s="35" t="n"/>
      <c r="H52" s="35" t="n"/>
      <c r="I52" s="35" t="n"/>
      <c r="J52" s="35" t="n"/>
      <c r="K52" s="35" t="n"/>
      <c r="L52" s="35" t="n"/>
      <c r="M52" s="35" t="n"/>
      <c r="N52" s="35" t="n"/>
      <c r="O52" s="35" t="n"/>
      <c r="P52" s="35" t="n"/>
      <c r="Q52" s="35" t="n"/>
      <c r="R52" s="35" t="n"/>
      <c r="S52" s="35" t="n"/>
      <c r="T52" s="35" t="n"/>
      <c r="U52" s="35" t="n"/>
      <c r="V52" s="35" t="n"/>
      <c r="W52" s="35" t="n"/>
      <c r="X52" s="35" t="n"/>
      <c r="Y52" s="35" t="n"/>
      <c r="Z52" s="35" t="n"/>
      <c r="AA52" s="35" t="n"/>
      <c r="AB52" s="35" t="n"/>
      <c r="AC52" s="35" t="n"/>
      <c r="AD52" s="35" t="n"/>
      <c r="AE52" s="35" t="n"/>
      <c r="AF52" s="35" t="n"/>
      <c r="AG52" s="35" t="n"/>
      <c r="AH52" s="35" t="n"/>
      <c r="AI52" s="35" t="n"/>
      <c r="AJ52" s="35" t="n"/>
      <c r="AK52" s="35" t="n"/>
      <c r="AL52" s="35" t="n"/>
      <c r="AM52" s="36" t="n"/>
    </row>
    <row r="53" ht="17" customHeight="1">
      <c r="A53" s="2" t="inlineStr">
        <is>
          <t>绿电降碳潜力(万吨CO2)</t>
        </is>
      </c>
      <c r="B53" s="7">
        <f>绿电量×0.5306/1000</f>
        <v/>
      </c>
      <c r="C53" s="20">
        <f>C33*0.5306/1000</f>
        <v/>
      </c>
      <c r="D53" s="20">
        <f>D33*0.5306/1000</f>
        <v/>
      </c>
      <c r="E53" s="20">
        <f>E33*0.5306/1000</f>
        <v/>
      </c>
      <c r="F53" s="20">
        <f>F33*0.5306/1000</f>
        <v/>
      </c>
      <c r="G53" s="20">
        <f>G33*0.5306/1000</f>
        <v/>
      </c>
      <c r="H53" s="20">
        <f>H33*0.5306/1000</f>
        <v/>
      </c>
      <c r="I53" s="20">
        <f>I33*0.5306/1000</f>
        <v/>
      </c>
      <c r="J53" s="20">
        <f>J33*0.5306/1000</f>
        <v/>
      </c>
      <c r="K53" s="20">
        <f>K33*0.5306/1000</f>
        <v/>
      </c>
      <c r="L53" s="20">
        <f>L33*0.5306/1000</f>
        <v/>
      </c>
      <c r="M53" s="20">
        <f>M33*0.5306/1000</f>
        <v/>
      </c>
      <c r="N53" s="20">
        <f>N33*0.5306/1000</f>
        <v/>
      </c>
      <c r="O53" s="20">
        <f>O33*0.5306/1000</f>
        <v/>
      </c>
      <c r="P53" s="20">
        <f>P33*0.5306/1000</f>
        <v/>
      </c>
      <c r="Q53" s="20">
        <f>Q33*0.5306/1000</f>
        <v/>
      </c>
      <c r="R53" s="20">
        <f>R33*0.5306/1000</f>
        <v/>
      </c>
      <c r="S53" s="20">
        <f>S33*0.5306/1000</f>
        <v/>
      </c>
      <c r="T53" s="20">
        <f>T33*0.5306/1000</f>
        <v/>
      </c>
      <c r="U53" s="20">
        <f>U33*0.5306/1000</f>
        <v/>
      </c>
      <c r="V53" s="20">
        <f>V33*0.5306/1000</f>
        <v/>
      </c>
      <c r="W53" s="20">
        <f>W33*0.5306/1000</f>
        <v/>
      </c>
      <c r="X53" s="20">
        <f>X33*0.5306/1000</f>
        <v/>
      </c>
      <c r="Y53" s="20">
        <f>Y33*0.5306/1000</f>
        <v/>
      </c>
      <c r="Z53" s="20">
        <f>Z33*0.5306/1000</f>
        <v/>
      </c>
      <c r="AA53" s="20">
        <f>AA33*0.5306/1000</f>
        <v/>
      </c>
      <c r="AB53" s="20">
        <f>AB33*0.5306/1000</f>
        <v/>
      </c>
      <c r="AC53" s="20">
        <f>AC33*0.5306/1000</f>
        <v/>
      </c>
      <c r="AD53" s="20">
        <f>AD33*0.5306/1000</f>
        <v/>
      </c>
      <c r="AE53" s="20">
        <f>AE33*0.5306/1000</f>
        <v/>
      </c>
      <c r="AF53" s="20">
        <f>AF33*0.5306/1000</f>
        <v/>
      </c>
      <c r="AG53" s="20">
        <f>AG33*0.5306/1000</f>
        <v/>
      </c>
      <c r="AH53" s="20">
        <f>AH33*0.5306/1000</f>
        <v/>
      </c>
      <c r="AI53" s="20">
        <f>AI33*0.5306/1000</f>
        <v/>
      </c>
      <c r="AJ53" s="20">
        <f>AJ33*0.5306/1000</f>
        <v/>
      </c>
      <c r="AK53" s="20">
        <f>AK33*0.5306/1000</f>
        <v/>
      </c>
      <c r="AL53" s="20">
        <f>AL33*0.5306/1000</f>
        <v/>
      </c>
      <c r="AM53" s="20">
        <f>AM33*0.5306/1000</f>
        <v/>
      </c>
    </row>
    <row r="54" ht="17" customHeight="1">
      <c r="A54" s="2" t="inlineStr">
        <is>
          <t>能源结构碳排放曲线(万吨CO2)</t>
        </is>
      </c>
      <c r="B54" s="7">
        <f>氢冶金曲线-绿电降碳</f>
        <v/>
      </c>
      <c r="C54" s="20">
        <f>C51-C53</f>
        <v/>
      </c>
      <c r="D54" s="20">
        <f>D51-D53</f>
        <v/>
      </c>
      <c r="E54" s="20">
        <f>E51-E53</f>
        <v/>
      </c>
      <c r="F54" s="20">
        <f>F51-F53</f>
        <v/>
      </c>
      <c r="G54" s="20">
        <f>G51-G53</f>
        <v/>
      </c>
      <c r="H54" s="20">
        <f>H51-H53</f>
        <v/>
      </c>
      <c r="I54" s="20">
        <f>I51-I53</f>
        <v/>
      </c>
      <c r="J54" s="20">
        <f>J51-J53</f>
        <v/>
      </c>
      <c r="K54" s="20">
        <f>K51-K53</f>
        <v/>
      </c>
      <c r="L54" s="20">
        <f>L51-L53</f>
        <v/>
      </c>
      <c r="M54" s="20">
        <f>M51-M53</f>
        <v/>
      </c>
      <c r="N54" s="20">
        <f>N51-N53</f>
        <v/>
      </c>
      <c r="O54" s="20">
        <f>O51-O53</f>
        <v/>
      </c>
      <c r="P54" s="20">
        <f>P51-P53</f>
        <v/>
      </c>
      <c r="Q54" s="20">
        <f>Q51-Q53</f>
        <v/>
      </c>
      <c r="R54" s="20">
        <f>R51-R53</f>
        <v/>
      </c>
      <c r="S54" s="20">
        <f>S51-S53</f>
        <v/>
      </c>
      <c r="T54" s="20">
        <f>T51-T53</f>
        <v/>
      </c>
      <c r="U54" s="20">
        <f>U51-U53</f>
        <v/>
      </c>
      <c r="V54" s="20">
        <f>V51-V53</f>
        <v/>
      </c>
      <c r="W54" s="20">
        <f>W51-W53</f>
        <v/>
      </c>
      <c r="X54" s="20">
        <f>X51-X53</f>
        <v/>
      </c>
      <c r="Y54" s="20">
        <f>Y51-Y53</f>
        <v/>
      </c>
      <c r="Z54" s="20">
        <f>Z51-Z53</f>
        <v/>
      </c>
      <c r="AA54" s="20">
        <f>AA51-AA53</f>
        <v/>
      </c>
      <c r="AB54" s="20">
        <f>AB51-AB53</f>
        <v/>
      </c>
      <c r="AC54" s="20">
        <f>AC51-AC53</f>
        <v/>
      </c>
      <c r="AD54" s="20">
        <f>AD51-AD53</f>
        <v/>
      </c>
      <c r="AE54" s="20">
        <f>AE51-AE53</f>
        <v/>
      </c>
      <c r="AF54" s="20">
        <f>AF51-AF53</f>
        <v/>
      </c>
      <c r="AG54" s="20">
        <f>AG51-AG53</f>
        <v/>
      </c>
      <c r="AH54" s="20">
        <f>AH51-AH53</f>
        <v/>
      </c>
      <c r="AI54" s="20">
        <f>AI51-AI53</f>
        <v/>
      </c>
      <c r="AJ54" s="20">
        <f>AJ51-AJ53</f>
        <v/>
      </c>
      <c r="AK54" s="20">
        <f>AK51-AK53</f>
        <v/>
      </c>
      <c r="AL54" s="20">
        <f>AL51-AL53</f>
        <v/>
      </c>
      <c r="AM54" s="20">
        <f>AM51-AM53</f>
        <v/>
      </c>
    </row>
    <row r="55">
      <c r="A55" s="40" t="inlineStr">
        <is>
          <t>8.6 低碳工艺技术</t>
        </is>
      </c>
      <c r="B55" s="35" t="n"/>
      <c r="C55" s="35" t="n"/>
      <c r="D55" s="35" t="n"/>
      <c r="E55" s="35" t="n"/>
      <c r="F55" s="35" t="n"/>
      <c r="G55" s="35" t="n"/>
      <c r="H55" s="35" t="n"/>
      <c r="I55" s="35" t="n"/>
      <c r="J55" s="35" t="n"/>
      <c r="K55" s="35" t="n"/>
      <c r="L55" s="35" t="n"/>
      <c r="M55" s="35" t="n"/>
      <c r="N55" s="35" t="n"/>
      <c r="O55" s="35" t="n"/>
      <c r="P55" s="35" t="n"/>
      <c r="Q55" s="35" t="n"/>
      <c r="R55" s="35" t="n"/>
      <c r="S55" s="35" t="n"/>
      <c r="T55" s="35" t="n"/>
      <c r="U55" s="35" t="n"/>
      <c r="V55" s="35" t="n"/>
      <c r="W55" s="35" t="n"/>
      <c r="X55" s="35" t="n"/>
      <c r="Y55" s="35" t="n"/>
      <c r="Z55" s="35" t="n"/>
      <c r="AA55" s="35" t="n"/>
      <c r="AB55" s="35" t="n"/>
      <c r="AC55" s="35" t="n"/>
      <c r="AD55" s="35" t="n"/>
      <c r="AE55" s="35" t="n"/>
      <c r="AF55" s="35" t="n"/>
      <c r="AG55" s="35" t="n"/>
      <c r="AH55" s="35" t="n"/>
      <c r="AI55" s="35" t="n"/>
      <c r="AJ55" s="35" t="n"/>
      <c r="AK55" s="35" t="n"/>
      <c r="AL55" s="35" t="n"/>
      <c r="AM55" s="36" t="n"/>
    </row>
    <row r="56" ht="17" customHeight="1">
      <c r="A56" s="2" t="inlineStr">
        <is>
          <t>低碳工艺降碳潜力(万吨CO2)</t>
        </is>
      </c>
      <c r="B56" s="7">
        <f>产量×累计技术潜力</f>
        <v/>
      </c>
      <c r="C56" s="20">
        <f>C13*C37</f>
        <v/>
      </c>
      <c r="D56" s="20">
        <f>D13*D37</f>
        <v/>
      </c>
      <c r="E56" s="20">
        <f>E13*E37</f>
        <v/>
      </c>
      <c r="F56" s="20">
        <f>F13*F37</f>
        <v/>
      </c>
      <c r="G56" s="20">
        <f>G13*G37</f>
        <v/>
      </c>
      <c r="H56" s="20">
        <f>H13*H37</f>
        <v/>
      </c>
      <c r="I56" s="20">
        <f>I13*I37</f>
        <v/>
      </c>
      <c r="J56" s="20">
        <f>J13*J37</f>
        <v/>
      </c>
      <c r="K56" s="20">
        <f>K13*K37</f>
        <v/>
      </c>
      <c r="L56" s="20">
        <f>L13*L37</f>
        <v/>
      </c>
      <c r="M56" s="20">
        <f>M13*M37</f>
        <v/>
      </c>
      <c r="N56" s="20">
        <f>N13*N37</f>
        <v/>
      </c>
      <c r="O56" s="20">
        <f>O13*O37</f>
        <v/>
      </c>
      <c r="P56" s="20">
        <f>P13*P37</f>
        <v/>
      </c>
      <c r="Q56" s="20">
        <f>Q13*Q37</f>
        <v/>
      </c>
      <c r="R56" s="20">
        <f>R13*R37</f>
        <v/>
      </c>
      <c r="S56" s="20">
        <f>S13*S37</f>
        <v/>
      </c>
      <c r="T56" s="20">
        <f>T13*T37</f>
        <v/>
      </c>
      <c r="U56" s="20">
        <f>U13*U37</f>
        <v/>
      </c>
      <c r="V56" s="20">
        <f>V13*V37</f>
        <v/>
      </c>
      <c r="W56" s="20">
        <f>W13*W37</f>
        <v/>
      </c>
      <c r="X56" s="20">
        <f>X13*X37</f>
        <v/>
      </c>
      <c r="Y56" s="20">
        <f>Y13*Y37</f>
        <v/>
      </c>
      <c r="Z56" s="20">
        <f>Z13*Z37</f>
        <v/>
      </c>
      <c r="AA56" s="20">
        <f>AA13*AA37</f>
        <v/>
      </c>
      <c r="AB56" s="20">
        <f>AB13*AB37</f>
        <v/>
      </c>
      <c r="AC56" s="20">
        <f>AC13*AC37</f>
        <v/>
      </c>
      <c r="AD56" s="20">
        <f>AD13*AD37</f>
        <v/>
      </c>
      <c r="AE56" s="20">
        <f>AE13*AE37</f>
        <v/>
      </c>
      <c r="AF56" s="20">
        <f>AF13*AF37</f>
        <v/>
      </c>
      <c r="AG56" s="20">
        <f>AG13*AG37</f>
        <v/>
      </c>
      <c r="AH56" s="20">
        <f>AH13*AH37</f>
        <v/>
      </c>
      <c r="AI56" s="20">
        <f>AI13*AI37</f>
        <v/>
      </c>
      <c r="AJ56" s="20">
        <f>AJ13*AJ37</f>
        <v/>
      </c>
      <c r="AK56" s="20">
        <f>AK13*AK37</f>
        <v/>
      </c>
      <c r="AL56" s="20">
        <f>AL13*AL37</f>
        <v/>
      </c>
      <c r="AM56" s="20">
        <f>AM13*AM37</f>
        <v/>
      </c>
    </row>
    <row r="57" ht="17" customHeight="1">
      <c r="A57" s="2" t="inlineStr">
        <is>
          <t>低碳工艺碳排放曲线(万吨CO2)</t>
        </is>
      </c>
      <c r="B57" s="7">
        <f>能源曲线-技术降碳</f>
        <v/>
      </c>
      <c r="C57" s="20">
        <f>C54-C56</f>
        <v/>
      </c>
      <c r="D57" s="20">
        <f>D54-D56</f>
        <v/>
      </c>
      <c r="E57" s="20">
        <f>E54-E56</f>
        <v/>
      </c>
      <c r="F57" s="20">
        <f>F54-F56</f>
        <v/>
      </c>
      <c r="G57" s="20">
        <f>G54-G56</f>
        <v/>
      </c>
      <c r="H57" s="20">
        <f>H54-H56</f>
        <v/>
      </c>
      <c r="I57" s="20">
        <f>I54-I56</f>
        <v/>
      </c>
      <c r="J57" s="20">
        <f>J54-J56</f>
        <v/>
      </c>
      <c r="K57" s="20">
        <f>K54-K56</f>
        <v/>
      </c>
      <c r="L57" s="20">
        <f>L54-L56</f>
        <v/>
      </c>
      <c r="M57" s="20">
        <f>M54-M56</f>
        <v/>
      </c>
      <c r="N57" s="20">
        <f>N54-N56</f>
        <v/>
      </c>
      <c r="O57" s="20">
        <f>O54-O56</f>
        <v/>
      </c>
      <c r="P57" s="20">
        <f>P54-P56</f>
        <v/>
      </c>
      <c r="Q57" s="20">
        <f>Q54-Q56</f>
        <v/>
      </c>
      <c r="R57" s="20">
        <f>R54-R56</f>
        <v/>
      </c>
      <c r="S57" s="20">
        <f>S54-S56</f>
        <v/>
      </c>
      <c r="T57" s="20">
        <f>T54-T56</f>
        <v/>
      </c>
      <c r="U57" s="20">
        <f>U54-U56</f>
        <v/>
      </c>
      <c r="V57" s="20">
        <f>V54-V56</f>
        <v/>
      </c>
      <c r="W57" s="20">
        <f>W54-W56</f>
        <v/>
      </c>
      <c r="X57" s="20">
        <f>X54-X56</f>
        <v/>
      </c>
      <c r="Y57" s="20">
        <f>Y54-Y56</f>
        <v/>
      </c>
      <c r="Z57" s="20">
        <f>Z54-Z56</f>
        <v/>
      </c>
      <c r="AA57" s="20">
        <f>AA54-AA56</f>
        <v/>
      </c>
      <c r="AB57" s="20">
        <f>AB54-AB56</f>
        <v/>
      </c>
      <c r="AC57" s="20">
        <f>AC54-AC56</f>
        <v/>
      </c>
      <c r="AD57" s="20">
        <f>AD54-AD56</f>
        <v/>
      </c>
      <c r="AE57" s="20">
        <f>AE54-AE56</f>
        <v/>
      </c>
      <c r="AF57" s="20">
        <f>AF54-AF56</f>
        <v/>
      </c>
      <c r="AG57" s="20">
        <f>AG54-AG56</f>
        <v/>
      </c>
      <c r="AH57" s="20">
        <f>AH54-AH56</f>
        <v/>
      </c>
      <c r="AI57" s="20">
        <f>AI54-AI56</f>
        <v/>
      </c>
      <c r="AJ57" s="20">
        <f>AJ54-AJ56</f>
        <v/>
      </c>
      <c r="AK57" s="20">
        <f>AK54-AK56</f>
        <v/>
      </c>
      <c r="AL57" s="20">
        <f>AL54-AL56</f>
        <v/>
      </c>
      <c r="AM57" s="20">
        <f>AM54-AM56</f>
        <v/>
      </c>
    </row>
    <row r="58">
      <c r="A58" s="40" t="inlineStr">
        <is>
          <t>8.7 CCUS</t>
        </is>
      </c>
      <c r="B58" s="35" t="n"/>
      <c r="C58" s="35" t="n"/>
      <c r="D58" s="35" t="n"/>
      <c r="E58" s="35" t="n"/>
      <c r="F58" s="35" t="n"/>
      <c r="G58" s="35" t="n"/>
      <c r="H58" s="35" t="n"/>
      <c r="I58" s="35" t="n"/>
      <c r="J58" s="35" t="n"/>
      <c r="K58" s="35" t="n"/>
      <c r="L58" s="35" t="n"/>
      <c r="M58" s="35" t="n"/>
      <c r="N58" s="35" t="n"/>
      <c r="O58" s="35" t="n"/>
      <c r="P58" s="35" t="n"/>
      <c r="Q58" s="35" t="n"/>
      <c r="R58" s="35" t="n"/>
      <c r="S58" s="35" t="n"/>
      <c r="T58" s="35" t="n"/>
      <c r="U58" s="35" t="n"/>
      <c r="V58" s="35" t="n"/>
      <c r="W58" s="35" t="n"/>
      <c r="X58" s="35" t="n"/>
      <c r="Y58" s="35" t="n"/>
      <c r="Z58" s="35" t="n"/>
      <c r="AA58" s="35" t="n"/>
      <c r="AB58" s="35" t="n"/>
      <c r="AC58" s="35" t="n"/>
      <c r="AD58" s="35" t="n"/>
      <c r="AE58" s="35" t="n"/>
      <c r="AF58" s="35" t="n"/>
      <c r="AG58" s="35" t="n"/>
      <c r="AH58" s="35" t="n"/>
      <c r="AI58" s="35" t="n"/>
      <c r="AJ58" s="35" t="n"/>
      <c r="AK58" s="35" t="n"/>
      <c r="AL58" s="35" t="n"/>
      <c r="AM58" s="36" t="n"/>
    </row>
    <row r="59" ht="17" customHeight="1">
      <c r="A59" s="2" t="inlineStr">
        <is>
          <t>CCUS动态比例</t>
        </is>
      </c>
      <c r="B59" s="7" t="inlineStr">
        <is>
          <t>配平比例(2035前=0)</t>
        </is>
      </c>
      <c r="C59" s="44" t="n">
        <v>0</v>
      </c>
      <c r="D59" s="44">
        <f>MAX(0,MIN(0.98,IF(D57&gt;0,1-汇总对比与可视化看板!B4*D13/D57,0)))</f>
        <v/>
      </c>
      <c r="E59" s="44">
        <f>MAX(0,MIN(0.98,IF(E57&gt;0,1-汇总对比与可视化看板!B5*E13/E57,0)))</f>
        <v/>
      </c>
      <c r="F59" s="44">
        <f>MAX(0,MIN(0.98,IF(F57&gt;0,1-汇总对比与可视化看板!B6*F13/F57,0)))</f>
        <v/>
      </c>
      <c r="G59" s="44">
        <f>MAX(0,MIN(0.98,IF(G57&gt;0,1-汇总对比与可视化看板!B7*G13/G57,0)))</f>
        <v/>
      </c>
      <c r="H59" s="44">
        <f>MAX(0,MIN(0.98,IF(H57&gt;0,1-汇总对比与可视化看板!B8*H13/H57,0)))</f>
        <v/>
      </c>
      <c r="I59" s="44">
        <f>MAX(0,MIN(0.98,IF(I57&gt;0,1-汇总对比与可视化看板!B9*I13/I57,0)))</f>
        <v/>
      </c>
      <c r="J59" s="44">
        <f>MAX(0,MIN(0.98,IF(J57&gt;0,1-汇总对比与可视化看板!B10*J13/J57,0)))</f>
        <v/>
      </c>
      <c r="K59" s="44">
        <f>MAX(0,MIN(0.98,IF(K57&gt;0,1-汇总对比与可视化看板!B11*K13/K57,0)))</f>
        <v/>
      </c>
      <c r="L59" s="44">
        <f>MAX(0,MIN(0.98,IF(L57&gt;0,1-汇总对比与可视化看板!B12*L13/L57,0)))</f>
        <v/>
      </c>
      <c r="M59" s="44">
        <f>MAX(0,MIN(0.98,IF(M57&gt;0,1-汇总对比与可视化看板!B13*M13/M57,0)))</f>
        <v/>
      </c>
      <c r="N59" s="44">
        <f>MAX(0,MIN(0.98,IF(N57&gt;0,1-汇总对比与可视化看板!B14*N13/N57,0)))</f>
        <v/>
      </c>
      <c r="O59" s="44">
        <f>MAX(0,MIN(0.98,IF(O57&gt;0,1-汇总对比与可视化看板!B15*O13/O57,0)))</f>
        <v/>
      </c>
      <c r="P59" s="44">
        <f>MAX(0,MIN(0.98,IF(P57&gt;0,1-汇总对比与可视化看板!B16*P13/P57,0)))</f>
        <v/>
      </c>
      <c r="Q59" s="44">
        <f>MAX(0,MIN(0.98,IF(Q57&gt;0,1-汇总对比与可视化看板!B17*Q13/Q57,0)))</f>
        <v/>
      </c>
      <c r="R59" s="44">
        <f>MAX(0,MIN(0.98,IF(R57&gt;0,1-汇总对比与可视化看板!B18*R13/R57,0)))</f>
        <v/>
      </c>
      <c r="S59" s="44">
        <f>MAX(0,MIN(0.98,IF(S57&gt;0,1-汇总对比与可视化看板!B19*S13/S57,0)))</f>
        <v/>
      </c>
      <c r="T59" s="44">
        <f>MAX(0,MIN(0.98,IF(T57&gt;0,1-汇总对比与可视化看板!B20*T13/T57,0)))</f>
        <v/>
      </c>
      <c r="U59" s="44">
        <f>MAX(0,MIN(0.98,IF(U57&gt;0,1-汇总对比与可视化看板!B21*U13/U57,0)))</f>
        <v/>
      </c>
      <c r="V59" s="44">
        <f>MAX(0,MIN(0.98,IF(V57&gt;0,1-汇总对比与可视化看板!B22*V13/V57,0)))</f>
        <v/>
      </c>
      <c r="W59" s="44">
        <f>MAX(0,MIN(0.98,IF(W57&gt;0,1-汇总对比与可视化看板!B23*W13/W57,0)))</f>
        <v/>
      </c>
      <c r="X59" s="44">
        <f>MAX(0,MIN(0.98,IF(X57&gt;0,1-汇总对比与可视化看板!B24*X13/X57,0)))</f>
        <v/>
      </c>
      <c r="Y59" s="44">
        <f>MAX(0,MIN(0.98,IF(Y57&gt;0,1-汇总对比与可视化看板!B25*Y13/Y57,0)))</f>
        <v/>
      </c>
      <c r="Z59" s="44">
        <f>MAX(0,MIN(0.98,IF(Z57&gt;0,1-汇总对比与可视化看板!B26*Z13/Z57,0)))</f>
        <v/>
      </c>
      <c r="AA59" s="44">
        <f>MAX(0,MIN(0.98,IF(AA57&gt;0,1-汇总对比与可视化看板!B27*AA13/AA57,0)))</f>
        <v/>
      </c>
      <c r="AB59" s="44">
        <f>MAX(0,MIN(0.98,IF(AB57&gt;0,1-汇总对比与可视化看板!B28*AB13/AB57,0)))</f>
        <v/>
      </c>
      <c r="AC59" s="44">
        <f>MAX(0,MIN(0.98,IF(AC57&gt;0,1-汇总对比与可视化看板!B29*AC13/AC57,0)))</f>
        <v/>
      </c>
      <c r="AD59" s="44">
        <f>MAX(0,MIN(0.98,IF(AD57&gt;0,1-汇总对比与可视化看板!B30*AD13/AD57,0)))</f>
        <v/>
      </c>
      <c r="AE59" s="44">
        <f>MAX(0,MIN(0.98,IF(AE57&gt;0,1-汇总对比与可视化看板!B31*AE13/AE57,0)))</f>
        <v/>
      </c>
      <c r="AF59" s="44">
        <f>MAX(0,MIN(0.98,IF(AF57&gt;0,1-汇总对比与可视化看板!B32*AF13/AF57,0)))</f>
        <v/>
      </c>
      <c r="AG59" s="44">
        <f>MAX(0,MIN(0.98,IF(AG57&gt;0,1-汇总对比与可视化看板!B33*AG13/AG57,0)))</f>
        <v/>
      </c>
      <c r="AH59" s="44">
        <f>MAX(0,MIN(0.98,IF(AH57&gt;0,1-汇总对比与可视化看板!B34*AH13/AH57,0)))</f>
        <v/>
      </c>
      <c r="AI59" s="44">
        <f>MAX(0,MIN(0.98,IF(AI57&gt;0,1-汇总对比与可视化看板!B35*AI13/AI57,0)))</f>
        <v/>
      </c>
      <c r="AJ59" s="44">
        <f>MAX(0,MIN(0.98,IF(AJ57&gt;0,1-汇总对比与可视化看板!B36*AJ13/AJ57,0)))</f>
        <v/>
      </c>
      <c r="AK59" s="44">
        <f>MAX(0,MIN(0.98,IF(AK57&gt;0,1-汇总对比与可视化看板!B37*AK13/AK57,0)))</f>
        <v/>
      </c>
      <c r="AL59" s="44">
        <f>MAX(0,MIN(0.98,IF(AL57&gt;0,1-汇总对比与可视化看板!B38*AL13/AL57,0)))</f>
        <v/>
      </c>
      <c r="AM59" s="44">
        <f>MAX(0,MIN(0.98,IF(AM57&gt;0,1-汇总对比与可视化看板!B39*AM13/AM57,0)))</f>
        <v/>
      </c>
    </row>
    <row r="60" ht="17" customHeight="1">
      <c r="A60" s="5" t="inlineStr">
        <is>
          <t>CCUS捕集量(万吨CO2)</t>
        </is>
      </c>
      <c r="B60" s="7">
        <f>工艺曲线×CCUS比例</f>
        <v/>
      </c>
      <c r="C60" s="28">
        <f>C57*C59</f>
        <v/>
      </c>
      <c r="D60" s="28">
        <f>D57*D59</f>
        <v/>
      </c>
      <c r="E60" s="28">
        <f>E57*E59</f>
        <v/>
      </c>
      <c r="F60" s="28">
        <f>F57*F59</f>
        <v/>
      </c>
      <c r="G60" s="28">
        <f>G57*G59</f>
        <v/>
      </c>
      <c r="H60" s="28">
        <f>H57*H59</f>
        <v/>
      </c>
      <c r="I60" s="28">
        <f>I57*I59</f>
        <v/>
      </c>
      <c r="J60" s="28">
        <f>J57*J59</f>
        <v/>
      </c>
      <c r="K60" s="28">
        <f>K57*K59</f>
        <v/>
      </c>
      <c r="L60" s="28">
        <f>L57*L59</f>
        <v/>
      </c>
      <c r="M60" s="28">
        <f>M57*M59</f>
        <v/>
      </c>
      <c r="N60" s="28">
        <f>N57*N59</f>
        <v/>
      </c>
      <c r="O60" s="28">
        <f>O57*O59</f>
        <v/>
      </c>
      <c r="P60" s="28">
        <f>P57*P59</f>
        <v/>
      </c>
      <c r="Q60" s="28">
        <f>Q57*Q59</f>
        <v/>
      </c>
      <c r="R60" s="28">
        <f>R57*R59</f>
        <v/>
      </c>
      <c r="S60" s="28">
        <f>S57*S59</f>
        <v/>
      </c>
      <c r="T60" s="28">
        <f>T57*T59</f>
        <v/>
      </c>
      <c r="U60" s="28">
        <f>U57*U59</f>
        <v/>
      </c>
      <c r="V60" s="28">
        <f>V57*V59</f>
        <v/>
      </c>
      <c r="W60" s="28">
        <f>W57*W59</f>
        <v/>
      </c>
      <c r="X60" s="28">
        <f>X57*X59</f>
        <v/>
      </c>
      <c r="Y60" s="28">
        <f>Y57*Y59</f>
        <v/>
      </c>
      <c r="Z60" s="28">
        <f>Z57*Z59</f>
        <v/>
      </c>
      <c r="AA60" s="28">
        <f>AA57*AA59</f>
        <v/>
      </c>
      <c r="AB60" s="28">
        <f>AB57*AB59</f>
        <v/>
      </c>
      <c r="AC60" s="28">
        <f>AC57*AC59</f>
        <v/>
      </c>
      <c r="AD60" s="28">
        <f>AD57*AD59</f>
        <v/>
      </c>
      <c r="AE60" s="28">
        <f>AE57*AE59</f>
        <v/>
      </c>
      <c r="AF60" s="28">
        <f>AF57*AF59</f>
        <v/>
      </c>
      <c r="AG60" s="28">
        <f>AG57*AG59</f>
        <v/>
      </c>
      <c r="AH60" s="28">
        <f>AH57*AH59</f>
        <v/>
      </c>
      <c r="AI60" s="28">
        <f>AI57*AI59</f>
        <v/>
      </c>
      <c r="AJ60" s="28">
        <f>AJ57*AJ59</f>
        <v/>
      </c>
      <c r="AK60" s="28">
        <f>AK57*AK59</f>
        <v/>
      </c>
      <c r="AL60" s="28">
        <f>AL57*AL59</f>
        <v/>
      </c>
      <c r="AM60" s="28">
        <f>AM57*AM59</f>
        <v/>
      </c>
    </row>
    <row r="61">
      <c r="A61" s="40" t="inlineStr">
        <is>
          <t>8.8 最终结果</t>
        </is>
      </c>
      <c r="B61" s="35" t="n"/>
      <c r="C61" s="35" t="n"/>
      <c r="D61" s="35" t="n"/>
      <c r="E61" s="35" t="n"/>
      <c r="F61" s="35" t="n"/>
      <c r="G61" s="35" t="n"/>
      <c r="H61" s="35" t="n"/>
      <c r="I61" s="35" t="n"/>
      <c r="J61" s="35" t="n"/>
      <c r="K61" s="35" t="n"/>
      <c r="L61" s="35" t="n"/>
      <c r="M61" s="35" t="n"/>
      <c r="N61" s="35" t="n"/>
      <c r="O61" s="35" t="n"/>
      <c r="P61" s="35" t="n"/>
      <c r="Q61" s="35" t="n"/>
      <c r="R61" s="35" t="n"/>
      <c r="S61" s="35" t="n"/>
      <c r="T61" s="35" t="n"/>
      <c r="U61" s="35" t="n"/>
      <c r="V61" s="35" t="n"/>
      <c r="W61" s="35" t="n"/>
      <c r="X61" s="35" t="n"/>
      <c r="Y61" s="35" t="n"/>
      <c r="Z61" s="35" t="n"/>
      <c r="AA61" s="35" t="n"/>
      <c r="AB61" s="35" t="n"/>
      <c r="AC61" s="35" t="n"/>
      <c r="AD61" s="35" t="n"/>
      <c r="AE61" s="35" t="n"/>
      <c r="AF61" s="35" t="n"/>
      <c r="AG61" s="35" t="n"/>
      <c r="AH61" s="35" t="n"/>
      <c r="AI61" s="35" t="n"/>
      <c r="AJ61" s="35" t="n"/>
      <c r="AK61" s="35" t="n"/>
      <c r="AL61" s="35" t="n"/>
      <c r="AM61" s="36" t="n"/>
    </row>
    <row r="62" ht="17" customHeight="1">
      <c r="A62" s="5" t="inlineStr">
        <is>
          <t>碳排放总量(万吨CO2)</t>
        </is>
      </c>
      <c r="B62" s="7">
        <f>工艺曲线-CCUS</f>
        <v/>
      </c>
      <c r="C62" s="28">
        <f>C57-C60</f>
        <v/>
      </c>
      <c r="D62" s="28">
        <f>D57-D60</f>
        <v/>
      </c>
      <c r="E62" s="28">
        <f>E57-E60</f>
        <v/>
      </c>
      <c r="F62" s="28">
        <f>F57-F60</f>
        <v/>
      </c>
      <c r="G62" s="28">
        <f>G57-G60</f>
        <v/>
      </c>
      <c r="H62" s="28">
        <f>H57-H60</f>
        <v/>
      </c>
      <c r="I62" s="28">
        <f>I57-I60</f>
        <v/>
      </c>
      <c r="J62" s="28">
        <f>J57-J60</f>
        <v/>
      </c>
      <c r="K62" s="28">
        <f>K57-K60</f>
        <v/>
      </c>
      <c r="L62" s="28">
        <f>L57-L60</f>
        <v/>
      </c>
      <c r="M62" s="28">
        <f>M57-M60</f>
        <v/>
      </c>
      <c r="N62" s="28">
        <f>N57-N60</f>
        <v/>
      </c>
      <c r="O62" s="28">
        <f>O57-O60</f>
        <v/>
      </c>
      <c r="P62" s="28">
        <f>P57-P60</f>
        <v/>
      </c>
      <c r="Q62" s="28">
        <f>Q57-Q60</f>
        <v/>
      </c>
      <c r="R62" s="28">
        <f>R57-R60</f>
        <v/>
      </c>
      <c r="S62" s="28">
        <f>S57-S60</f>
        <v/>
      </c>
      <c r="T62" s="28">
        <f>T57-T60</f>
        <v/>
      </c>
      <c r="U62" s="28">
        <f>U57-U60</f>
        <v/>
      </c>
      <c r="V62" s="28">
        <f>V57-V60</f>
        <v/>
      </c>
      <c r="W62" s="28">
        <f>W57-W60</f>
        <v/>
      </c>
      <c r="X62" s="28">
        <f>X57-X60</f>
        <v/>
      </c>
      <c r="Y62" s="28">
        <f>Y57-Y60</f>
        <v/>
      </c>
      <c r="Z62" s="28">
        <f>Z57-Z60</f>
        <v/>
      </c>
      <c r="AA62" s="28">
        <f>AA57-AA60</f>
        <v/>
      </c>
      <c r="AB62" s="28">
        <f>AB57-AB60</f>
        <v/>
      </c>
      <c r="AC62" s="28">
        <f>AC57-AC60</f>
        <v/>
      </c>
      <c r="AD62" s="28">
        <f>AD57-AD60</f>
        <v/>
      </c>
      <c r="AE62" s="28">
        <f>AE57-AE60</f>
        <v/>
      </c>
      <c r="AF62" s="28">
        <f>AF57-AF60</f>
        <v/>
      </c>
      <c r="AG62" s="28">
        <f>AG57-AG60</f>
        <v/>
      </c>
      <c r="AH62" s="28">
        <f>AH57-AH60</f>
        <v/>
      </c>
      <c r="AI62" s="28">
        <f>AI57-AI60</f>
        <v/>
      </c>
      <c r="AJ62" s="28">
        <f>AJ57-AJ60</f>
        <v/>
      </c>
      <c r="AK62" s="28">
        <f>AK57-AK60</f>
        <v/>
      </c>
      <c r="AL62" s="28">
        <f>AL57-AL60</f>
        <v/>
      </c>
      <c r="AM62" s="28">
        <f>AM57-AM60</f>
        <v/>
      </c>
    </row>
    <row r="63" ht="17" customHeight="1">
      <c r="A63" s="5" t="inlineStr">
        <is>
          <t>吨钢碳排放强度(tCO2/t)</t>
        </is>
      </c>
      <c r="B63" s="7">
        <f>碳排放总量/粗钢产量</f>
        <v/>
      </c>
      <c r="C63" s="48">
        <f>IF(C13&gt;0,C62/C13,0)</f>
        <v/>
      </c>
      <c r="D63" s="48">
        <f>IF(D13&gt;0,D62/D13,0)</f>
        <v/>
      </c>
      <c r="E63" s="48">
        <f>IF(E13&gt;0,E62/E13,0)</f>
        <v/>
      </c>
      <c r="F63" s="48">
        <f>IF(F13&gt;0,F62/F13,0)</f>
        <v/>
      </c>
      <c r="G63" s="48">
        <f>IF(G13&gt;0,G62/G13,0)</f>
        <v/>
      </c>
      <c r="H63" s="48">
        <f>IF(H13&gt;0,H62/H13,0)</f>
        <v/>
      </c>
      <c r="I63" s="48">
        <f>IF(I13&gt;0,I62/I13,0)</f>
        <v/>
      </c>
      <c r="J63" s="48">
        <f>IF(J13&gt;0,J62/J13,0)</f>
        <v/>
      </c>
      <c r="K63" s="48">
        <f>IF(K13&gt;0,K62/K13,0)</f>
        <v/>
      </c>
      <c r="L63" s="48">
        <f>IF(L13&gt;0,L62/L13,0)</f>
        <v/>
      </c>
      <c r="M63" s="48">
        <f>IF(M13&gt;0,M62/M13,0)</f>
        <v/>
      </c>
      <c r="N63" s="48">
        <f>IF(N13&gt;0,N62/N13,0)</f>
        <v/>
      </c>
      <c r="O63" s="48">
        <f>IF(O13&gt;0,O62/O13,0)</f>
        <v/>
      </c>
      <c r="P63" s="48">
        <f>IF(P13&gt;0,P62/P13,0)</f>
        <v/>
      </c>
      <c r="Q63" s="48">
        <f>IF(Q13&gt;0,Q62/Q13,0)</f>
        <v/>
      </c>
      <c r="R63" s="48">
        <f>IF(R13&gt;0,R62/R13,0)</f>
        <v/>
      </c>
      <c r="S63" s="48">
        <f>IF(S13&gt;0,S62/S13,0)</f>
        <v/>
      </c>
      <c r="T63" s="48">
        <f>IF(T13&gt;0,T62/T13,0)</f>
        <v/>
      </c>
      <c r="U63" s="48">
        <f>IF(U13&gt;0,U62/U13,0)</f>
        <v/>
      </c>
      <c r="V63" s="48">
        <f>IF(V13&gt;0,V62/V13,0)</f>
        <v/>
      </c>
      <c r="W63" s="48">
        <f>IF(W13&gt;0,W62/W13,0)</f>
        <v/>
      </c>
      <c r="X63" s="48">
        <f>IF(X13&gt;0,X62/X13,0)</f>
        <v/>
      </c>
      <c r="Y63" s="48">
        <f>IF(Y13&gt;0,Y62/Y13,0)</f>
        <v/>
      </c>
      <c r="Z63" s="48">
        <f>IF(Z13&gt;0,Z62/Z13,0)</f>
        <v/>
      </c>
      <c r="AA63" s="48">
        <f>IF(AA13&gt;0,AA62/AA13,0)</f>
        <v/>
      </c>
      <c r="AB63" s="48">
        <f>IF(AB13&gt;0,AB62/AB13,0)</f>
        <v/>
      </c>
      <c r="AC63" s="48">
        <f>IF(AC13&gt;0,AC62/AC13,0)</f>
        <v/>
      </c>
      <c r="AD63" s="48">
        <f>IF(AD13&gt;0,AD62/AD13,0)</f>
        <v/>
      </c>
      <c r="AE63" s="48">
        <f>IF(AE13&gt;0,AE62/AE13,0)</f>
        <v/>
      </c>
      <c r="AF63" s="48">
        <f>IF(AF13&gt;0,AF62/AF13,0)</f>
        <v/>
      </c>
      <c r="AG63" s="48">
        <f>IF(AG13&gt;0,AG62/AG13,0)</f>
        <v/>
      </c>
      <c r="AH63" s="48">
        <f>IF(AH13&gt;0,AH62/AH13,0)</f>
        <v/>
      </c>
      <c r="AI63" s="48">
        <f>IF(AI13&gt;0,AI62/AI13,0)</f>
        <v/>
      </c>
      <c r="AJ63" s="48">
        <f>IF(AJ13&gt;0,AJ62/AJ13,0)</f>
        <v/>
      </c>
      <c r="AK63" s="48">
        <f>IF(AK13&gt;0,AK62/AK13,0)</f>
        <v/>
      </c>
      <c r="AL63" s="48">
        <f>IF(AL13&gt;0,AL62/AL13,0)</f>
        <v/>
      </c>
      <c r="AM63" s="48">
        <f>IF(AM13&gt;0,AM62/AM13,0)</f>
        <v/>
      </c>
    </row>
    <row r="64" ht="17" customHeight="1">
      <c r="A64" s="2" t="inlineStr">
        <is>
          <t>碳强度较基准年变化(%)</t>
        </is>
      </c>
      <c r="B64" s="7">
        <f>(当年-1.95)/1.95</f>
        <v/>
      </c>
      <c r="C64" s="43">
        <f>(C63-1.95)/1.95</f>
        <v/>
      </c>
      <c r="D64" s="43">
        <f>(D63-1.95)/1.95</f>
        <v/>
      </c>
      <c r="E64" s="43">
        <f>(E63-1.95)/1.95</f>
        <v/>
      </c>
      <c r="F64" s="43">
        <f>(F63-1.95)/1.95</f>
        <v/>
      </c>
      <c r="G64" s="43">
        <f>(G63-1.95)/1.95</f>
        <v/>
      </c>
      <c r="H64" s="43">
        <f>(H63-1.95)/1.95</f>
        <v/>
      </c>
      <c r="I64" s="43">
        <f>(I63-1.95)/1.95</f>
        <v/>
      </c>
      <c r="J64" s="43">
        <f>(J63-1.95)/1.95</f>
        <v/>
      </c>
      <c r="K64" s="43">
        <f>(K63-1.95)/1.95</f>
        <v/>
      </c>
      <c r="L64" s="43">
        <f>(L63-1.95)/1.95</f>
        <v/>
      </c>
      <c r="M64" s="43">
        <f>(M63-1.95)/1.95</f>
        <v/>
      </c>
      <c r="N64" s="43">
        <f>(N63-1.95)/1.95</f>
        <v/>
      </c>
      <c r="O64" s="43">
        <f>(O63-1.95)/1.95</f>
        <v/>
      </c>
      <c r="P64" s="43">
        <f>(P63-1.95)/1.95</f>
        <v/>
      </c>
      <c r="Q64" s="43">
        <f>(Q63-1.95)/1.95</f>
        <v/>
      </c>
      <c r="R64" s="43">
        <f>(R63-1.95)/1.95</f>
        <v/>
      </c>
      <c r="S64" s="43">
        <f>(S63-1.95)/1.95</f>
        <v/>
      </c>
      <c r="T64" s="43">
        <f>(T63-1.95)/1.95</f>
        <v/>
      </c>
      <c r="U64" s="43">
        <f>(U63-1.95)/1.95</f>
        <v/>
      </c>
      <c r="V64" s="43">
        <f>(V63-1.95)/1.95</f>
        <v/>
      </c>
      <c r="W64" s="43">
        <f>(W63-1.95)/1.95</f>
        <v/>
      </c>
      <c r="X64" s="43">
        <f>(X63-1.95)/1.95</f>
        <v/>
      </c>
      <c r="Y64" s="43">
        <f>(Y63-1.95)/1.95</f>
        <v/>
      </c>
      <c r="Z64" s="43">
        <f>(Z63-1.95)/1.95</f>
        <v/>
      </c>
      <c r="AA64" s="43">
        <f>(AA63-1.95)/1.95</f>
        <v/>
      </c>
      <c r="AB64" s="43">
        <f>(AB63-1.95)/1.95</f>
        <v/>
      </c>
      <c r="AC64" s="43">
        <f>(AC63-1.95)/1.95</f>
        <v/>
      </c>
      <c r="AD64" s="43">
        <f>(AD63-1.95)/1.95</f>
        <v/>
      </c>
      <c r="AE64" s="43">
        <f>(AE63-1.95)/1.95</f>
        <v/>
      </c>
      <c r="AF64" s="43">
        <f>(AF63-1.95)/1.95</f>
        <v/>
      </c>
      <c r="AG64" s="43">
        <f>(AG63-1.95)/1.95</f>
        <v/>
      </c>
      <c r="AH64" s="43">
        <f>(AH63-1.95)/1.95</f>
        <v/>
      </c>
      <c r="AI64" s="43">
        <f>(AI63-1.95)/1.95</f>
        <v/>
      </c>
      <c r="AJ64" s="43">
        <f>(AJ63-1.95)/1.95</f>
        <v/>
      </c>
      <c r="AK64" s="43">
        <f>(AK63-1.95)/1.95</f>
        <v/>
      </c>
      <c r="AL64" s="43">
        <f>(AL63-1.95)/1.95</f>
        <v/>
      </c>
      <c r="AM64" s="43">
        <f>(AM63-1.95)/1.95</f>
        <v/>
      </c>
    </row>
    <row r="65" ht="17" customHeight="1">
      <c r="A65" s="2" t="inlineStr">
        <is>
          <t>占全国碳预算比例(%)</t>
        </is>
      </c>
      <c r="B65" s="7">
        <f>碳排放/(全国排放×10000)</f>
        <v/>
      </c>
      <c r="C65" s="43">
        <f>C62/(C9*10000)</f>
        <v/>
      </c>
      <c r="D65" s="43">
        <f>D62/(D9*10000)</f>
        <v/>
      </c>
      <c r="E65" s="43">
        <f>E62/(E9*10000)</f>
        <v/>
      </c>
      <c r="F65" s="43">
        <f>F62/(F9*10000)</f>
        <v/>
      </c>
      <c r="G65" s="43">
        <f>G62/(G9*10000)</f>
        <v/>
      </c>
      <c r="H65" s="43">
        <f>H62/(H9*10000)</f>
        <v/>
      </c>
      <c r="I65" s="43">
        <f>I62/(I9*10000)</f>
        <v/>
      </c>
      <c r="J65" s="43">
        <f>J62/(J9*10000)</f>
        <v/>
      </c>
      <c r="K65" s="43">
        <f>K62/(K9*10000)</f>
        <v/>
      </c>
      <c r="L65" s="43">
        <f>L62/(L9*10000)</f>
        <v/>
      </c>
      <c r="M65" s="43">
        <f>M62/(M9*10000)</f>
        <v/>
      </c>
      <c r="N65" s="43">
        <f>N62/(N9*10000)</f>
        <v/>
      </c>
      <c r="O65" s="43">
        <f>O62/(O9*10000)</f>
        <v/>
      </c>
      <c r="P65" s="43">
        <f>P62/(P9*10000)</f>
        <v/>
      </c>
      <c r="Q65" s="43">
        <f>Q62/(Q9*10000)</f>
        <v/>
      </c>
      <c r="R65" s="43">
        <f>R62/(R9*10000)</f>
        <v/>
      </c>
      <c r="S65" s="43">
        <f>S62/(S9*10000)</f>
        <v/>
      </c>
      <c r="T65" s="43">
        <f>T62/(T9*10000)</f>
        <v/>
      </c>
      <c r="U65" s="43">
        <f>U62/(U9*10000)</f>
        <v/>
      </c>
      <c r="V65" s="43">
        <f>V62/(V9*10000)</f>
        <v/>
      </c>
      <c r="W65" s="43">
        <f>W62/(W9*10000)</f>
        <v/>
      </c>
      <c r="X65" s="43">
        <f>X62/(X9*10000)</f>
        <v/>
      </c>
      <c r="Y65" s="43">
        <f>Y62/(Y9*10000)</f>
        <v/>
      </c>
      <c r="Z65" s="43">
        <f>Z62/(Z9*10000)</f>
        <v/>
      </c>
      <c r="AA65" s="43">
        <f>AA62/(AA9*10000)</f>
        <v/>
      </c>
      <c r="AB65" s="43">
        <f>AB62/(AB9*10000)</f>
        <v/>
      </c>
      <c r="AC65" s="43">
        <f>AC62/(AC9*10000)</f>
        <v/>
      </c>
      <c r="AD65" s="43">
        <f>AD62/(AD9*10000)</f>
        <v/>
      </c>
      <c r="AE65" s="43">
        <f>AE62/(AE9*10000)</f>
        <v/>
      </c>
      <c r="AF65" s="43">
        <f>AF62/(AF9*10000)</f>
        <v/>
      </c>
      <c r="AG65" s="43">
        <f>AG62/(AG9*10000)</f>
        <v/>
      </c>
      <c r="AH65" s="43">
        <f>AH62/(AH9*10000)</f>
        <v/>
      </c>
      <c r="AI65" s="43">
        <f>AI62/(AI9*10000)</f>
        <v/>
      </c>
      <c r="AJ65" s="43">
        <f>AJ62/(AJ9*10000)</f>
        <v/>
      </c>
      <c r="AK65" s="43">
        <f>AK62/(AK9*10000)</f>
        <v/>
      </c>
      <c r="AL65" s="43">
        <f>AL62/(AL9*10000)</f>
        <v/>
      </c>
      <c r="AM65" s="43">
        <f>AM62/(AM9*10000)</f>
        <v/>
      </c>
    </row>
  </sheetData>
  <mergeCells count="20">
    <mergeCell ref="A61:AM61"/>
    <mergeCell ref="A46:AM46"/>
    <mergeCell ref="A12:AM12"/>
    <mergeCell ref="A21:AM21"/>
    <mergeCell ref="A55:AM55"/>
    <mergeCell ref="A14:AM14"/>
    <mergeCell ref="A1:J1"/>
    <mergeCell ref="A5:AM5"/>
    <mergeCell ref="AP11:AQ11"/>
    <mergeCell ref="A43:AM43"/>
    <mergeCell ref="A52:AM52"/>
    <mergeCell ref="A58:AM58"/>
    <mergeCell ref="A34:AM34"/>
    <mergeCell ref="A40:AM40"/>
    <mergeCell ref="AP25:AQ25"/>
    <mergeCell ref="A30:AM30"/>
    <mergeCell ref="A39:AM39"/>
    <mergeCell ref="A2:J2"/>
    <mergeCell ref="A49:AM49"/>
    <mergeCell ref="AP4:AQ4"/>
  </mergeCells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>
  <sheetPr>
    <tabColor rgb="FF7030A0"/>
    <outlinePr summaryBelow="1" summaryRight="1"/>
    <pageSetUpPr/>
  </sheetPr>
  <dimension ref="A1:K39"/>
  <sheetViews>
    <sheetView workbookViewId="0">
      <selection activeCell="C3" sqref="C3"/>
    </sheetView>
  </sheetViews>
  <sheetFormatPr baseColWidth="10" defaultColWidth="9" defaultRowHeight="14"/>
  <cols>
    <col width="14.83203125" customWidth="1" min="1" max="1"/>
    <col width="16" customWidth="1" min="2" max="9"/>
    <col width="18.5" customWidth="1" min="10" max="10"/>
    <col width="28.6640625" customWidth="1" min="11" max="11"/>
  </cols>
  <sheetData>
    <row r="1" ht="20.5" customHeight="1">
      <c r="A1" s="38" t="inlineStr">
        <is>
          <t>三情景碳强度对比与关键指标汇总</t>
        </is>
      </c>
      <c r="B1" s="35" t="n"/>
      <c r="C1" s="35" t="n"/>
      <c r="D1" s="35" t="n"/>
      <c r="E1" s="35" t="n"/>
      <c r="F1" s="35" t="n"/>
      <c r="G1" s="35" t="n"/>
      <c r="H1" s="35" t="n"/>
      <c r="I1" s="36" t="n"/>
    </row>
    <row r="2" ht="66" customHeight="1">
      <c r="A2" s="10" t="inlineStr">
        <is>
          <t>年份</t>
        </is>
      </c>
      <c r="B2" s="10" t="inlineStr">
        <is>
          <t>保守情景吨钢碳强度</t>
        </is>
      </c>
      <c r="C2" s="10" t="inlineStr">
        <is>
          <t>保守累计降幅</t>
        </is>
      </c>
      <c r="D2" s="10" t="inlineStr">
        <is>
          <t>适度情景吨钢碳强度</t>
        </is>
      </c>
      <c r="E2" s="10" t="inlineStr">
        <is>
          <t>适度累计降幅</t>
        </is>
      </c>
      <c r="F2" s="10" t="inlineStr">
        <is>
          <t>积极情景吨钢碳强度</t>
        </is>
      </c>
      <c r="G2" s="10" t="inlineStr">
        <is>
          <t>积极累计降幅</t>
        </is>
      </c>
      <c r="H2" s="10" t="inlineStr">
        <is>
          <t>适度vs保守(百分点)</t>
        </is>
      </c>
      <c r="I2" s="10" t="inlineStr">
        <is>
          <t>积极vs适度(百分点)</t>
        </is>
      </c>
      <c r="J2" s="10" t="inlineStr">
        <is>
          <t>适度情景CO2排放(万吨)</t>
        </is>
      </c>
      <c r="K2" s="10" t="inlineStr">
        <is>
          <t>积极情景CO2排放(万吨)</t>
        </is>
      </c>
    </row>
    <row r="3" ht="20.5" customHeight="1">
      <c r="A3" s="11" t="n">
        <v>2024</v>
      </c>
      <c r="B3" s="11" t="n">
        <v>1.95</v>
      </c>
      <c r="C3" s="12" t="n">
        <v>0</v>
      </c>
      <c r="D3" s="11" t="n">
        <v>1.95</v>
      </c>
      <c r="E3" s="12" t="n">
        <v>0</v>
      </c>
      <c r="F3" s="11" t="n">
        <v>1.95</v>
      </c>
      <c r="G3" s="12" t="n">
        <v>0</v>
      </c>
      <c r="H3" s="11" t="n">
        <v>0</v>
      </c>
      <c r="I3" s="11" t="n">
        <v>0</v>
      </c>
      <c r="J3" s="13" t="n">
        <v>195993</v>
      </c>
      <c r="K3" s="13" t="n">
        <v>195993</v>
      </c>
    </row>
    <row r="4" ht="20.5" customHeight="1">
      <c r="A4" s="11" t="n">
        <v>2025</v>
      </c>
      <c r="B4" s="11" t="n">
        <v>1.958</v>
      </c>
      <c r="C4" s="12" t="n">
        <v>-0.004</v>
      </c>
      <c r="D4" s="11" t="n">
        <v>1.954</v>
      </c>
      <c r="E4" s="12" t="n">
        <v>-0.002</v>
      </c>
      <c r="F4" s="11" t="n">
        <v>1.947</v>
      </c>
      <c r="G4" s="12" t="n">
        <v>0.0015</v>
      </c>
      <c r="H4" s="11" t="n">
        <v>0.2</v>
      </c>
      <c r="I4" s="11" t="n">
        <v>0.35</v>
      </c>
      <c r="J4" s="13" t="n">
        <v>187742</v>
      </c>
      <c r="K4" s="13" t="n">
        <v>187070</v>
      </c>
    </row>
    <row r="5" ht="20.5" customHeight="1">
      <c r="A5" s="11" t="n">
        <v>2026</v>
      </c>
      <c r="B5" s="11" t="n">
        <v>1.941</v>
      </c>
      <c r="C5" s="12" t="n">
        <v>0.0046</v>
      </c>
      <c r="D5" s="11" t="n">
        <v>1.923</v>
      </c>
      <c r="E5" s="12" t="n">
        <v>0.0138</v>
      </c>
      <c r="F5" s="11" t="n">
        <v>1.905</v>
      </c>
      <c r="G5" s="12" t="n">
        <v>0.0231</v>
      </c>
      <c r="H5" s="11" t="n">
        <v>0.92</v>
      </c>
      <c r="I5" s="11" t="n">
        <v>0.93</v>
      </c>
      <c r="J5" s="13" t="n">
        <v>180762</v>
      </c>
      <c r="K5" s="13" t="n">
        <v>179070</v>
      </c>
    </row>
    <row r="6" ht="20.5" customHeight="1">
      <c r="A6" s="11" t="n">
        <v>2027</v>
      </c>
      <c r="B6" s="11" t="n">
        <v>1.924</v>
      </c>
      <c r="C6" s="12" t="n">
        <v>0.0133</v>
      </c>
      <c r="D6" s="11" t="n">
        <v>1.891</v>
      </c>
      <c r="E6" s="12" t="n">
        <v>0.0303</v>
      </c>
      <c r="F6" s="11" t="n">
        <v>1.853</v>
      </c>
      <c r="G6" s="12" t="n">
        <v>0.0497</v>
      </c>
      <c r="H6" s="11" t="n">
        <v>1.7</v>
      </c>
      <c r="I6" s="11" t="n">
        <v>1.94</v>
      </c>
      <c r="J6" s="13" t="n">
        <v>174918</v>
      </c>
      <c r="K6" s="13" t="n">
        <v>171403</v>
      </c>
    </row>
    <row r="7" ht="20.5" customHeight="1">
      <c r="A7" s="11" t="n">
        <v>2028</v>
      </c>
      <c r="B7" s="11" t="n">
        <v>1.907</v>
      </c>
      <c r="C7" s="12" t="n">
        <v>0.0221</v>
      </c>
      <c r="D7" s="11" t="n">
        <v>1.86</v>
      </c>
      <c r="E7" s="12" t="n">
        <v>0.0462</v>
      </c>
      <c r="F7" s="11" t="n">
        <v>1.812</v>
      </c>
      <c r="G7" s="12" t="n">
        <v>0.0708</v>
      </c>
      <c r="H7" s="11" t="n">
        <v>2.41</v>
      </c>
      <c r="I7" s="11" t="n">
        <v>2.46</v>
      </c>
      <c r="J7" s="13" t="n">
        <v>169260</v>
      </c>
      <c r="K7" s="13" t="n">
        <v>164892</v>
      </c>
    </row>
    <row r="8" ht="20.5" customHeight="1">
      <c r="A8" s="11" t="n">
        <v>2029</v>
      </c>
      <c r="B8" s="11" t="n">
        <v>1.891</v>
      </c>
      <c r="C8" s="12" t="n">
        <v>0.0303</v>
      </c>
      <c r="D8" s="11" t="n">
        <v>1.829</v>
      </c>
      <c r="E8" s="12" t="n">
        <v>0.0621</v>
      </c>
      <c r="F8" s="11" t="n">
        <v>1.78</v>
      </c>
      <c r="G8" s="12" t="n">
        <v>0.09719999999999999</v>
      </c>
      <c r="H8" s="11" t="n">
        <v>3.18</v>
      </c>
      <c r="I8" s="11" t="n">
        <v>2.51</v>
      </c>
      <c r="J8" s="13" t="n">
        <v>160952</v>
      </c>
      <c r="K8" s="13" t="n">
        <v>156640</v>
      </c>
    </row>
    <row r="9" ht="20.5" customHeight="1">
      <c r="A9" s="11" t="n">
        <v>2030</v>
      </c>
      <c r="B9" s="11" t="n">
        <v>1.874</v>
      </c>
      <c r="C9" s="12" t="n">
        <v>0.039</v>
      </c>
      <c r="D9" s="11" t="n">
        <v>1.798</v>
      </c>
      <c r="E9" s="12" t="n">
        <v>0.0779</v>
      </c>
      <c r="F9" s="11" t="n">
        <v>1.744</v>
      </c>
      <c r="G9" s="12" t="n">
        <v>0.1206</v>
      </c>
      <c r="H9" s="11" t="n">
        <v>3.89</v>
      </c>
      <c r="I9" s="11" t="n">
        <v>2.77</v>
      </c>
      <c r="J9" s="13" t="n">
        <v>152830</v>
      </c>
      <c r="K9" s="13" t="n">
        <v>148240</v>
      </c>
    </row>
    <row r="10" ht="20.5" customHeight="1">
      <c r="A10" s="11" t="n">
        <v>2031</v>
      </c>
      <c r="B10" s="11" t="n">
        <v>1.849</v>
      </c>
      <c r="C10" s="12" t="n">
        <v>0.0518</v>
      </c>
      <c r="D10" s="11" t="n">
        <v>1.76</v>
      </c>
      <c r="E10" s="12" t="n">
        <v>0.0974</v>
      </c>
      <c r="F10" s="11" t="n">
        <v>1.669</v>
      </c>
      <c r="G10" s="12" t="n">
        <v>0.1441</v>
      </c>
      <c r="H10" s="11" t="n">
        <v>4.56</v>
      </c>
      <c r="I10" s="11" t="n">
        <v>4.67</v>
      </c>
      <c r="J10" s="13" t="n">
        <v>148252</v>
      </c>
      <c r="K10" s="13" t="n">
        <v>140582</v>
      </c>
    </row>
    <row r="11" ht="20.5" customHeight="1">
      <c r="A11" s="11" t="n">
        <v>2032</v>
      </c>
      <c r="B11" s="11" t="n">
        <v>1.825</v>
      </c>
      <c r="C11" s="12" t="n">
        <v>0.0641</v>
      </c>
      <c r="D11" s="11" t="n">
        <v>1.722</v>
      </c>
      <c r="E11" s="12" t="n">
        <v>0.1169</v>
      </c>
      <c r="F11" s="11" t="n">
        <v>1.594</v>
      </c>
      <c r="G11" s="12" t="n">
        <v>0.1726</v>
      </c>
      <c r="H11" s="11" t="n">
        <v>5.28</v>
      </c>
      <c r="I11" s="11" t="n">
        <v>6.57</v>
      </c>
      <c r="J11" s="13" t="n">
        <v>143878</v>
      </c>
      <c r="K11" s="13" t="n">
        <v>133185</v>
      </c>
    </row>
    <row r="12" ht="20.5" customHeight="1">
      <c r="A12" s="11" t="n">
        <v>2033</v>
      </c>
      <c r="B12" s="11" t="n">
        <v>1.8</v>
      </c>
      <c r="C12" s="12" t="n">
        <v>0.0769</v>
      </c>
      <c r="D12" s="11" t="n">
        <v>1.684</v>
      </c>
      <c r="E12" s="12" t="n">
        <v>0.1364</v>
      </c>
      <c r="F12" s="11" t="n">
        <v>1.52</v>
      </c>
      <c r="G12" s="12" t="n">
        <v>0.2005</v>
      </c>
      <c r="H12" s="11" t="n">
        <v>5.95</v>
      </c>
      <c r="I12" s="11" t="n">
        <v>8.41</v>
      </c>
      <c r="J12" s="13" t="n">
        <v>139521</v>
      </c>
      <c r="K12" s="13" t="n">
        <v>125910</v>
      </c>
    </row>
    <row r="13" ht="20.5" customHeight="1">
      <c r="A13" s="11" t="n">
        <v>2034</v>
      </c>
      <c r="B13" s="11" t="n">
        <v>1.776</v>
      </c>
      <c r="C13" s="12" t="n">
        <v>0.0892</v>
      </c>
      <c r="D13" s="11" t="n">
        <v>1.646</v>
      </c>
      <c r="E13" s="12" t="n">
        <v>0.1559</v>
      </c>
      <c r="F13" s="11" t="n">
        <v>1.445</v>
      </c>
      <c r="G13" s="12" t="n">
        <v>0.229</v>
      </c>
      <c r="H13" s="11" t="n">
        <v>6.67</v>
      </c>
      <c r="I13" s="11" t="n">
        <v>10.31</v>
      </c>
      <c r="J13" s="13" t="n">
        <v>135221</v>
      </c>
      <c r="K13" s="13" t="n">
        <v>118720</v>
      </c>
    </row>
    <row r="14" ht="20.5" customHeight="1">
      <c r="A14" s="11" t="n">
        <v>2035</v>
      </c>
      <c r="B14" s="11" t="n">
        <v>1.751</v>
      </c>
      <c r="C14" s="12" t="n">
        <v>0.102</v>
      </c>
      <c r="D14" s="11" t="n">
        <v>1.607</v>
      </c>
      <c r="E14" s="12" t="n">
        <v>0.1759</v>
      </c>
      <c r="F14" s="11" t="n">
        <v>1.37</v>
      </c>
      <c r="G14" s="12" t="n">
        <v>0.2574</v>
      </c>
      <c r="H14" s="11" t="n">
        <v>7.39</v>
      </c>
      <c r="I14" s="11" t="n">
        <v>12.15</v>
      </c>
      <c r="J14" s="13" t="n">
        <v>134988</v>
      </c>
      <c r="K14" s="13" t="n">
        <v>115080</v>
      </c>
    </row>
    <row r="15" ht="20.5" customHeight="1">
      <c r="A15" s="11" t="n">
        <v>2036</v>
      </c>
      <c r="B15" s="11" t="n">
        <v>1.691</v>
      </c>
      <c r="C15" s="12" t="n">
        <v>0.1328</v>
      </c>
      <c r="D15" s="11" t="n">
        <v>1.516</v>
      </c>
      <c r="E15" s="12" t="n">
        <v>0.2226</v>
      </c>
      <c r="F15" s="11" t="n">
        <v>1.266</v>
      </c>
      <c r="G15" s="12" t="n">
        <v>0.3008</v>
      </c>
      <c r="H15" s="11" t="n">
        <v>8.98</v>
      </c>
      <c r="I15" s="11" t="n">
        <v>12.82</v>
      </c>
      <c r="J15" s="13" t="n">
        <v>124312</v>
      </c>
      <c r="K15" s="13" t="n">
        <v>103812</v>
      </c>
    </row>
    <row r="16" ht="20.5" customHeight="1">
      <c r="A16" s="11" t="n">
        <v>2037</v>
      </c>
      <c r="B16" s="11" t="n">
        <v>1.631</v>
      </c>
      <c r="C16" s="12" t="n">
        <v>0.1636</v>
      </c>
      <c r="D16" s="11" t="n">
        <v>1.424</v>
      </c>
      <c r="E16" s="12" t="n">
        <v>0.27</v>
      </c>
      <c r="F16" s="11" t="n">
        <v>1.162</v>
      </c>
      <c r="G16" s="12" t="n">
        <v>0.3541</v>
      </c>
      <c r="H16" s="11" t="n">
        <v>10.64</v>
      </c>
      <c r="I16" s="11" t="n">
        <v>13.41</v>
      </c>
      <c r="J16" s="13" t="n">
        <v>114347</v>
      </c>
      <c r="K16" s="13" t="n">
        <v>93308</v>
      </c>
    </row>
    <row r="17" ht="20.5" customHeight="1">
      <c r="A17" s="11" t="n">
        <v>2038</v>
      </c>
      <c r="B17" s="11" t="n">
        <v>1.571</v>
      </c>
      <c r="C17" s="12" t="n">
        <v>0.1944</v>
      </c>
      <c r="D17" s="11" t="n">
        <v>1.333</v>
      </c>
      <c r="E17" s="12" t="n">
        <v>0.3164</v>
      </c>
      <c r="F17" s="11" t="n">
        <v>1.058</v>
      </c>
      <c r="G17" s="12" t="n">
        <v>0.4074</v>
      </c>
      <c r="H17" s="11" t="n">
        <v>12.2</v>
      </c>
      <c r="I17" s="11" t="n">
        <v>14.1</v>
      </c>
      <c r="J17" s="13" t="n">
        <v>104774</v>
      </c>
      <c r="K17" s="13" t="n">
        <v>83159</v>
      </c>
    </row>
    <row r="18" ht="20.5" customHeight="1">
      <c r="A18" s="11" t="n">
        <v>2039</v>
      </c>
      <c r="B18" s="11" t="n">
        <v>1.51</v>
      </c>
      <c r="C18" s="12" t="n">
        <v>0.2256</v>
      </c>
      <c r="D18" s="11" t="n">
        <v>1.241</v>
      </c>
      <c r="E18" s="12" t="n">
        <v>0.3636</v>
      </c>
      <c r="F18" s="11" t="n">
        <v>0.954</v>
      </c>
      <c r="G18" s="12" t="n">
        <v>0.5108</v>
      </c>
      <c r="H18" s="11" t="n">
        <v>13.8</v>
      </c>
      <c r="I18" s="11" t="n">
        <v>14.72</v>
      </c>
      <c r="J18" s="13" t="n">
        <v>95557</v>
      </c>
      <c r="K18" s="13" t="n">
        <v>73458</v>
      </c>
    </row>
    <row r="19" ht="20.5" customHeight="1">
      <c r="A19" s="11" t="n">
        <v>2040</v>
      </c>
      <c r="B19" s="11" t="n">
        <v>1.45</v>
      </c>
      <c r="C19" s="12" t="n">
        <v>0.2564</v>
      </c>
      <c r="D19" s="11" t="n">
        <v>1.15</v>
      </c>
      <c r="E19" s="12" t="n">
        <v>0.4103</v>
      </c>
      <c r="F19" s="11" t="n">
        <v>0.85</v>
      </c>
      <c r="G19" s="12" t="n">
        <v>0.5641</v>
      </c>
      <c r="H19" s="11" t="n">
        <v>15.39</v>
      </c>
      <c r="I19" s="11" t="n">
        <v>15.38</v>
      </c>
      <c r="J19" s="13" t="n">
        <v>83406</v>
      </c>
      <c r="K19" s="13" t="n">
        <v>61648</v>
      </c>
    </row>
    <row r="20" ht="20.5" customHeight="1">
      <c r="A20" s="11" t="n">
        <v>2041</v>
      </c>
      <c r="B20" s="11" t="n">
        <v>1.38</v>
      </c>
      <c r="C20" s="12" t="n">
        <v>0.2923</v>
      </c>
      <c r="D20" s="11" t="n">
        <v>1.075</v>
      </c>
      <c r="E20" s="12" t="n">
        <v>0.4487</v>
      </c>
      <c r="F20" s="11" t="n">
        <v>0.782</v>
      </c>
      <c r="G20" s="12" t="n">
        <v>0.599</v>
      </c>
      <c r="H20" s="11" t="n">
        <v>15.64</v>
      </c>
      <c r="I20" s="11" t="n">
        <v>15.03</v>
      </c>
      <c r="J20" s="13" t="n">
        <v>76824</v>
      </c>
      <c r="K20" s="13" t="n">
        <v>55885</v>
      </c>
    </row>
    <row r="21" ht="20.5" customHeight="1">
      <c r="A21" s="11" t="n">
        <v>2042</v>
      </c>
      <c r="B21" s="11" t="n">
        <v>1.31</v>
      </c>
      <c r="C21" s="12" t="n">
        <v>0.3282</v>
      </c>
      <c r="D21" s="11" t="n">
        <v>1</v>
      </c>
      <c r="E21" s="12" t="n">
        <v>0.4872</v>
      </c>
      <c r="F21" s="11" t="n">
        <v>0.714</v>
      </c>
      <c r="G21" s="12" t="n">
        <v>0.6338</v>
      </c>
      <c r="H21" s="11" t="n">
        <v>15.9</v>
      </c>
      <c r="I21" s="11" t="n">
        <v>14.66</v>
      </c>
      <c r="J21" s="13" t="n">
        <v>70402</v>
      </c>
      <c r="K21" s="13" t="n">
        <v>50266</v>
      </c>
    </row>
    <row r="22" ht="20.5" customHeight="1">
      <c r="A22" s="11" t="n">
        <v>2043</v>
      </c>
      <c r="B22" s="11" t="n">
        <v>1.24</v>
      </c>
      <c r="C22" s="12" t="n">
        <v>0.3641</v>
      </c>
      <c r="D22" s="11" t="n">
        <v>0.925</v>
      </c>
      <c r="E22" s="12" t="n">
        <v>0.5256</v>
      </c>
      <c r="F22" s="11" t="n">
        <v>0.646</v>
      </c>
      <c r="G22" s="12" t="n">
        <v>0.6687</v>
      </c>
      <c r="H22" s="11" t="n">
        <v>16.15</v>
      </c>
      <c r="I22" s="11" t="n">
        <v>14.31</v>
      </c>
      <c r="J22" s="13" t="n">
        <v>64139</v>
      </c>
      <c r="K22" s="13" t="n">
        <v>44794</v>
      </c>
    </row>
    <row r="23" ht="20.5" customHeight="1">
      <c r="A23" s="11" t="n">
        <v>2044</v>
      </c>
      <c r="B23" s="11" t="n">
        <v>1.17</v>
      </c>
      <c r="C23" s="12" t="n">
        <v>0.4</v>
      </c>
      <c r="D23" s="11" t="n">
        <v>0.85</v>
      </c>
      <c r="E23" s="12" t="n">
        <v>0.5641</v>
      </c>
      <c r="F23" s="11" t="n">
        <v>0.578</v>
      </c>
      <c r="G23" s="12" t="n">
        <v>0.7036</v>
      </c>
      <c r="H23" s="11" t="n">
        <v>16.41</v>
      </c>
      <c r="I23" s="11" t="n">
        <v>13.95</v>
      </c>
      <c r="J23" s="13" t="n">
        <v>58035</v>
      </c>
      <c r="K23" s="13" t="n">
        <v>39463</v>
      </c>
    </row>
    <row r="24" ht="20.5" customHeight="1">
      <c r="A24" s="11" t="n">
        <v>2045</v>
      </c>
      <c r="B24" s="11" t="n">
        <v>1.1</v>
      </c>
      <c r="C24" s="12" t="n">
        <v>0.4359</v>
      </c>
      <c r="D24" s="11" t="n">
        <v>0.775</v>
      </c>
      <c r="E24" s="12" t="n">
        <v>0.6026</v>
      </c>
      <c r="F24" s="11" t="n">
        <v>0.51</v>
      </c>
      <c r="G24" s="12" t="n">
        <v>0.7385</v>
      </c>
      <c r="H24" s="11" t="n">
        <v>16.67</v>
      </c>
      <c r="I24" s="11" t="n">
        <v>13.59</v>
      </c>
      <c r="J24" s="13" t="n">
        <v>52066</v>
      </c>
      <c r="K24" s="13" t="n">
        <v>34263</v>
      </c>
    </row>
    <row r="25" ht="20.5" customHeight="1">
      <c r="A25" s="11" t="n">
        <v>2046</v>
      </c>
      <c r="B25" s="11" t="n">
        <v>1.03</v>
      </c>
      <c r="C25" s="12" t="n">
        <v>0.4718</v>
      </c>
      <c r="D25" s="11" t="n">
        <v>0.7</v>
      </c>
      <c r="E25" s="12" t="n">
        <v>0.641</v>
      </c>
      <c r="F25" s="11" t="n">
        <v>0.442</v>
      </c>
      <c r="G25" s="12" t="n">
        <v>0.7733</v>
      </c>
      <c r="H25" s="11" t="n">
        <v>16.92</v>
      </c>
      <c r="I25" s="11" t="n">
        <v>13.23</v>
      </c>
      <c r="J25" s="13" t="n">
        <v>46236</v>
      </c>
      <c r="K25" s="13" t="n">
        <v>29195</v>
      </c>
    </row>
    <row r="26" ht="20.5" customHeight="1">
      <c r="A26" s="11" t="n">
        <v>2047</v>
      </c>
      <c r="B26" s="11" t="n">
        <v>0.96</v>
      </c>
      <c r="C26" s="12" t="n">
        <v>0.5077</v>
      </c>
      <c r="D26" s="11" t="n">
        <v>0.625</v>
      </c>
      <c r="E26" s="12" t="n">
        <v>0.6795</v>
      </c>
      <c r="F26" s="11" t="n">
        <v>0.374</v>
      </c>
      <c r="G26" s="12" t="n">
        <v>0.8082</v>
      </c>
      <c r="H26" s="11" t="n">
        <v>17.18</v>
      </c>
      <c r="I26" s="11" t="n">
        <v>12.87</v>
      </c>
      <c r="J26" s="13" t="n">
        <v>40680</v>
      </c>
      <c r="K26" s="13" t="n">
        <v>24343</v>
      </c>
    </row>
    <row r="27" ht="20.5" customHeight="1">
      <c r="A27" s="11" t="n">
        <v>2048</v>
      </c>
      <c r="B27" s="11" t="n">
        <v>0.89</v>
      </c>
      <c r="C27" s="12" t="n">
        <v>0.5436</v>
      </c>
      <c r="D27" s="11" t="n">
        <v>0.55</v>
      </c>
      <c r="E27" s="12" t="n">
        <v>0.7179</v>
      </c>
      <c r="F27" s="11" t="n">
        <v>0.306</v>
      </c>
      <c r="G27" s="12" t="n">
        <v>0.8431</v>
      </c>
      <c r="H27" s="11" t="n">
        <v>17.43</v>
      </c>
      <c r="I27" s="11" t="n">
        <v>12.52</v>
      </c>
      <c r="J27" s="13" t="n">
        <v>35214</v>
      </c>
      <c r="K27" s="13" t="n">
        <v>19573</v>
      </c>
    </row>
    <row r="28" ht="20.5" customHeight="1">
      <c r="A28" s="11" t="n">
        <v>2049</v>
      </c>
      <c r="B28" s="11" t="n">
        <v>0.82</v>
      </c>
      <c r="C28" s="12" t="n">
        <v>0.5795</v>
      </c>
      <c r="D28" s="11" t="n">
        <v>0.475</v>
      </c>
      <c r="E28" s="12" t="n">
        <v>0.7564</v>
      </c>
      <c r="F28" s="11" t="n">
        <v>0.238</v>
      </c>
      <c r="G28" s="12" t="n">
        <v>0.8779</v>
      </c>
      <c r="H28" s="11" t="n">
        <v>17.69</v>
      </c>
      <c r="I28" s="11" t="n">
        <v>12.15</v>
      </c>
      <c r="J28" s="13" t="n">
        <v>29907</v>
      </c>
      <c r="K28" s="13" t="n">
        <v>14992</v>
      </c>
    </row>
    <row r="29" ht="20.5" customHeight="1">
      <c r="A29" s="11" t="n">
        <v>2050</v>
      </c>
      <c r="B29" s="11" t="n">
        <v>0.75</v>
      </c>
      <c r="C29" s="12" t="n">
        <v>0.6153999999999999</v>
      </c>
      <c r="D29" s="11" t="n">
        <v>0.4</v>
      </c>
      <c r="E29" s="12" t="n">
        <v>0.7949000000000001</v>
      </c>
      <c r="F29" s="11" t="n">
        <v>0.17</v>
      </c>
      <c r="G29" s="12" t="n">
        <v>0.9127999999999999</v>
      </c>
      <c r="H29" s="11" t="n">
        <v>17.95</v>
      </c>
      <c r="I29" s="11" t="n">
        <v>11.79</v>
      </c>
      <c r="J29" s="13" t="n">
        <v>24760</v>
      </c>
      <c r="K29" s="13" t="n">
        <v>10523</v>
      </c>
    </row>
    <row r="30" ht="20.5" customHeight="1">
      <c r="A30" s="11" t="n">
        <v>2051</v>
      </c>
      <c r="B30" s="11" t="n">
        <v>0.6870000000000001</v>
      </c>
      <c r="C30" s="12" t="n">
        <v>0.6477000000000001</v>
      </c>
      <c r="D30" s="11" t="n">
        <v>0.365</v>
      </c>
      <c r="E30" s="12" t="n">
        <v>0.8128</v>
      </c>
      <c r="F30" s="11" t="n">
        <v>0.154</v>
      </c>
      <c r="G30" s="12" t="n">
        <v>0.921</v>
      </c>
      <c r="H30" s="11" t="n">
        <v>16.51</v>
      </c>
      <c r="I30" s="11" t="n">
        <v>10.82</v>
      </c>
      <c r="J30" s="13" t="n">
        <v>22231</v>
      </c>
      <c r="K30" s="13" t="n">
        <v>9380</v>
      </c>
    </row>
    <row r="31" ht="20.5" customHeight="1">
      <c r="A31" s="11" t="n">
        <v>2052</v>
      </c>
      <c r="B31" s="11" t="n">
        <v>0.624</v>
      </c>
      <c r="C31" s="12" t="n">
        <v>0.68</v>
      </c>
      <c r="D31" s="11" t="n">
        <v>0.33</v>
      </c>
      <c r="E31" s="12" t="n">
        <v>0.8308</v>
      </c>
      <c r="F31" s="11" t="n">
        <v>0.138</v>
      </c>
      <c r="G31" s="12" t="n">
        <v>0.9292</v>
      </c>
      <c r="H31" s="11" t="n">
        <v>15.08</v>
      </c>
      <c r="I31" s="11" t="n">
        <v>9.84</v>
      </c>
      <c r="J31" s="13" t="n">
        <v>19777</v>
      </c>
      <c r="K31" s="13" t="n">
        <v>8270</v>
      </c>
    </row>
    <row r="32" ht="20.5" customHeight="1">
      <c r="A32" s="11" t="n">
        <v>2053</v>
      </c>
      <c r="B32" s="11" t="n">
        <v>0.5610000000000001</v>
      </c>
      <c r="C32" s="12" t="n">
        <v>0.7123</v>
      </c>
      <c r="D32" s="11" t="n">
        <v>0.295</v>
      </c>
      <c r="E32" s="12" t="n">
        <v>0.8487</v>
      </c>
      <c r="F32" s="11" t="n">
        <v>0.122</v>
      </c>
      <c r="G32" s="12" t="n">
        <v>0.9374</v>
      </c>
      <c r="H32" s="11" t="n">
        <v>13.64</v>
      </c>
      <c r="I32" s="11" t="n">
        <v>8.869999999999999</v>
      </c>
      <c r="J32" s="13" t="n">
        <v>17396</v>
      </c>
      <c r="K32" s="13" t="n">
        <v>7194</v>
      </c>
    </row>
    <row r="33" ht="20.5" customHeight="1">
      <c r="A33" s="11" t="n">
        <v>2054</v>
      </c>
      <c r="B33" s="11" t="n">
        <v>0.498</v>
      </c>
      <c r="C33" s="12" t="n">
        <v>0.7446</v>
      </c>
      <c r="D33" s="11" t="n">
        <v>0.26</v>
      </c>
      <c r="E33" s="12" t="n">
        <v>0.8667</v>
      </c>
      <c r="F33" s="11" t="n">
        <v>0.106</v>
      </c>
      <c r="G33" s="12" t="n">
        <v>0.9456</v>
      </c>
      <c r="H33" s="11" t="n">
        <v>12.21</v>
      </c>
      <c r="I33" s="11" t="n">
        <v>7.89</v>
      </c>
      <c r="J33" s="13" t="n">
        <v>15087</v>
      </c>
      <c r="K33" s="13" t="n">
        <v>6151</v>
      </c>
    </row>
    <row r="34" ht="20.5" customHeight="1">
      <c r="A34" s="11" t="n">
        <v>2055</v>
      </c>
      <c r="B34" s="11" t="n">
        <v>0.435</v>
      </c>
      <c r="C34" s="12" t="n">
        <v>0.7769</v>
      </c>
      <c r="D34" s="11" t="n">
        <v>0.225</v>
      </c>
      <c r="E34" s="12" t="n">
        <v>0.8846000000000001</v>
      </c>
      <c r="F34" s="11" t="n">
        <v>0.09</v>
      </c>
      <c r="G34" s="12" t="n">
        <v>0.9538</v>
      </c>
      <c r="H34" s="11" t="n">
        <v>10.77</v>
      </c>
      <c r="I34" s="11" t="n">
        <v>6.92</v>
      </c>
      <c r="J34" s="13" t="n">
        <v>12848</v>
      </c>
      <c r="K34" s="13" t="n">
        <v>5139</v>
      </c>
    </row>
    <row r="35" ht="20.5" customHeight="1">
      <c r="A35" s="11" t="n">
        <v>2056</v>
      </c>
      <c r="B35" s="11" t="n">
        <v>0.372</v>
      </c>
      <c r="C35" s="12" t="n">
        <v>0.8092</v>
      </c>
      <c r="D35" s="11" t="n">
        <v>0.19</v>
      </c>
      <c r="E35" s="12" t="n">
        <v>0.9026</v>
      </c>
      <c r="F35" s="11" t="n">
        <v>0.074</v>
      </c>
      <c r="G35" s="12" t="n">
        <v>0.9621</v>
      </c>
      <c r="H35" s="11" t="n">
        <v>9.34</v>
      </c>
      <c r="I35" s="11" t="n">
        <v>5.95</v>
      </c>
      <c r="J35" s="13" t="n">
        <v>10677</v>
      </c>
      <c r="K35" s="13" t="n">
        <v>4159</v>
      </c>
    </row>
    <row r="36" ht="20.5" customHeight="1">
      <c r="A36" s="11" t="n">
        <v>2057</v>
      </c>
      <c r="B36" s="11" t="n">
        <v>0.309</v>
      </c>
      <c r="C36" s="12" t="n">
        <v>0.8415</v>
      </c>
      <c r="D36" s="11" t="n">
        <v>0.155</v>
      </c>
      <c r="E36" s="12" t="n">
        <v>0.9205</v>
      </c>
      <c r="F36" s="11" t="n">
        <v>0.058</v>
      </c>
      <c r="G36" s="12" t="n">
        <v>0.9703000000000001</v>
      </c>
      <c r="H36" s="11" t="n">
        <v>7.9</v>
      </c>
      <c r="I36" s="11" t="n">
        <v>4.98</v>
      </c>
      <c r="J36" s="13" t="n">
        <v>8573</v>
      </c>
      <c r="K36" s="13" t="n">
        <v>3208</v>
      </c>
    </row>
    <row r="37" ht="20.5" customHeight="1">
      <c r="A37" s="11" t="n">
        <v>2058</v>
      </c>
      <c r="B37" s="11" t="n">
        <v>0.246</v>
      </c>
      <c r="C37" s="12" t="n">
        <v>0.8738</v>
      </c>
      <c r="D37" s="11" t="n">
        <v>0.12</v>
      </c>
      <c r="E37" s="12" t="n">
        <v>0.9385</v>
      </c>
      <c r="F37" s="11" t="n">
        <v>0.042</v>
      </c>
      <c r="G37" s="12" t="n">
        <v>0.9785</v>
      </c>
      <c r="H37" s="11" t="n">
        <v>6.47</v>
      </c>
      <c r="I37" s="11" t="n">
        <v>4</v>
      </c>
      <c r="J37" s="13" t="n">
        <v>6532</v>
      </c>
      <c r="K37" s="13" t="n">
        <v>2286</v>
      </c>
    </row>
    <row r="38" ht="20.5" customHeight="1">
      <c r="A38" s="11" t="n">
        <v>2059</v>
      </c>
      <c r="B38" s="11" t="n">
        <v>0.183</v>
      </c>
      <c r="C38" s="12" t="n">
        <v>0.9062</v>
      </c>
      <c r="D38" s="11" t="n">
        <v>0.08500000000000001</v>
      </c>
      <c r="E38" s="12" t="n">
        <v>0.9564</v>
      </c>
      <c r="F38" s="11" t="n">
        <v>0.026</v>
      </c>
      <c r="G38" s="12" t="n">
        <v>0.9867</v>
      </c>
      <c r="H38" s="11" t="n">
        <v>5.02</v>
      </c>
      <c r="I38" s="11" t="n">
        <v>3.03</v>
      </c>
      <c r="J38" s="13" t="n">
        <v>4554</v>
      </c>
      <c r="K38" s="13" t="n">
        <v>1393</v>
      </c>
    </row>
    <row r="39" ht="20.5" customHeight="1">
      <c r="A39" s="11" t="n">
        <v>2060</v>
      </c>
      <c r="B39" s="11" t="n">
        <v>0.12</v>
      </c>
      <c r="C39" s="12" t="n">
        <v>0.9385</v>
      </c>
      <c r="D39" s="11" t="n">
        <v>0.05</v>
      </c>
      <c r="E39" s="12" t="n">
        <v>0.9744</v>
      </c>
      <c r="F39" s="11" t="n">
        <v>0.01</v>
      </c>
      <c r="G39" s="12" t="n">
        <v>0.9949</v>
      </c>
      <c r="H39" s="11" t="n">
        <v>3.59</v>
      </c>
      <c r="I39" s="11" t="n">
        <v>2.05</v>
      </c>
      <c r="J39" s="13" t="n">
        <v>2636</v>
      </c>
      <c r="K39" s="11" t="n">
        <v>527</v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BF8F00"/>
    <outlinePr summaryBelow="1" summaryRight="1"/>
    <pageSetUpPr/>
  </sheetPr>
  <dimension ref="A1:H86"/>
  <sheetViews>
    <sheetView workbookViewId="0">
      <selection activeCell="A1" sqref="A1:H1"/>
    </sheetView>
  </sheetViews>
  <sheetFormatPr baseColWidth="10" defaultColWidth="9" defaultRowHeight="14"/>
  <cols>
    <col width="18" customWidth="1" min="1" max="8"/>
  </cols>
  <sheetData>
    <row r="1" ht="20.5" customHeight="1">
      <c r="A1" s="38" t="inlineStr">
        <is>
          <t>金融机构钢铁行业投融资组合减碳目标对标</t>
        </is>
      </c>
      <c r="B1" s="35" t="n"/>
      <c r="C1" s="35" t="n"/>
      <c r="D1" s="35" t="n"/>
      <c r="E1" s="35" t="n"/>
      <c r="F1" s="35" t="n"/>
      <c r="G1" s="35" t="n"/>
      <c r="H1" s="36" t="n"/>
    </row>
    <row r="2">
      <c r="A2" s="39" t="inlineStr">
        <is>
          <t>基于适度情景 | 技术路径降碳潜力与适度情景一致</t>
        </is>
      </c>
      <c r="B2" s="35" t="n"/>
      <c r="C2" s="35" t="n"/>
      <c r="D2" s="35" t="n"/>
      <c r="E2" s="35" t="n"/>
      <c r="F2" s="35" t="n"/>
      <c r="G2" s="35" t="n"/>
      <c r="H2" s="36" t="n"/>
    </row>
    <row r="4" ht="17.5" customHeight="1">
      <c r="A4" s="34" t="inlineStr">
        <is>
          <t>银行输入参数</t>
        </is>
      </c>
      <c r="B4" s="35" t="n"/>
      <c r="C4" s="35" t="n"/>
      <c r="D4" s="36" t="n"/>
    </row>
    <row r="5" ht="31" customHeight="1">
      <c r="A5" s="37" t="inlineStr">
        <is>
          <t>钢铁行业贷款总额(亿元)</t>
        </is>
      </c>
      <c r="C5" s="8" t="inlineStr">
        <is>
          <t>请输入</t>
        </is>
      </c>
    </row>
    <row r="6" ht="31" customHeight="1">
      <c r="A6" s="37" t="inlineStr">
        <is>
          <t>加权平均碳强度起点(tCO2/t)</t>
        </is>
      </c>
      <c r="C6" s="8" t="inlineStr">
        <is>
          <t>请输入</t>
        </is>
      </c>
    </row>
    <row r="7" ht="31" customHeight="1">
      <c r="A7" s="37" t="inlineStr">
        <is>
          <t>2030年碳强度目标(tCO2/t)</t>
        </is>
      </c>
      <c r="C7" s="8" t="inlineStr">
        <is>
          <t>请输入</t>
        </is>
      </c>
    </row>
    <row r="8" ht="31" customHeight="1">
      <c r="A8" s="37" t="inlineStr">
        <is>
          <t>2035年碳强度目标(tCO2/t)</t>
        </is>
      </c>
      <c r="C8" s="8" t="inlineStr">
        <is>
          <t>请输入</t>
        </is>
      </c>
    </row>
    <row r="9" ht="31" customHeight="1">
      <c r="A9" s="37" t="inlineStr">
        <is>
          <t>2040年碳强度目标(tCO2/t)</t>
        </is>
      </c>
      <c r="C9" s="8" t="inlineStr">
        <is>
          <t>请输入</t>
        </is>
      </c>
    </row>
    <row r="12" ht="17.5" customHeight="1">
      <c r="A12" s="34" t="inlineStr">
        <is>
          <t>适度情景各减排路径贡献(万吨CO2)</t>
        </is>
      </c>
      <c r="B12" s="35" t="n"/>
      <c r="C12" s="35" t="n"/>
      <c r="D12" s="35" t="n"/>
      <c r="E12" s="35" t="n"/>
      <c r="F12" s="35" t="n"/>
      <c r="G12" s="35" t="n"/>
      <c r="H12" s="36" t="n"/>
    </row>
    <row r="13" ht="17" customHeight="1">
      <c r="A13" s="1" t="inlineStr">
        <is>
          <t>年份</t>
        </is>
      </c>
      <c r="B13" s="1" t="inlineStr">
        <is>
          <t>产量变化</t>
        </is>
      </c>
      <c r="C13" s="1" t="inlineStr">
        <is>
          <t>原料结构</t>
        </is>
      </c>
      <c r="D13" s="1" t="inlineStr">
        <is>
          <t>短流程提升</t>
        </is>
      </c>
      <c r="E13" s="1" t="inlineStr">
        <is>
          <t>氢冶金提升</t>
        </is>
      </c>
      <c r="F13" s="1" t="inlineStr">
        <is>
          <t>绿电</t>
        </is>
      </c>
      <c r="G13" s="1" t="inlineStr">
        <is>
          <t>低碳技术</t>
        </is>
      </c>
      <c r="H13" s="1" t="inlineStr">
        <is>
          <t>CCUS</t>
        </is>
      </c>
    </row>
    <row r="14" ht="16" customHeight="1">
      <c r="A14" s="2" t="n">
        <v>2024</v>
      </c>
      <c r="B14" s="9" t="n">
        <v>0</v>
      </c>
      <c r="C14" s="9" t="n">
        <v>0</v>
      </c>
      <c r="D14" s="9" t="n">
        <v>0</v>
      </c>
      <c r="E14" s="9" t="n">
        <v>0</v>
      </c>
      <c r="F14" s="9" t="n">
        <v>0</v>
      </c>
      <c r="G14" s="9" t="n">
        <v>0</v>
      </c>
      <c r="H14" s="9" t="n">
        <v>0</v>
      </c>
    </row>
    <row r="16" ht="16" customHeight="1">
      <c r="A16" s="2" t="n">
        <v>2025</v>
      </c>
      <c r="B16" s="9" t="n">
        <v>8634.6</v>
      </c>
      <c r="C16" s="9" t="n">
        <v>-2052.34339090908</v>
      </c>
      <c r="D16" s="9" t="n">
        <v>-613.7208000000001</v>
      </c>
      <c r="E16" s="9" t="n">
        <v>37.4882895163635</v>
      </c>
      <c r="F16" s="9" t="n">
        <v>1173.9552737115</v>
      </c>
      <c r="G16" s="9" t="n">
        <v>5764.86</v>
      </c>
      <c r="H16" s="9" t="n">
        <v>0</v>
      </c>
    </row>
    <row r="18" ht="16" customHeight="1">
      <c r="A18" s="2" t="n">
        <v>2026</v>
      </c>
      <c r="B18" s="9" t="n">
        <v>13170.5700090483</v>
      </c>
      <c r="C18" s="9" t="n">
        <v>-2822.12834184715</v>
      </c>
      <c r="D18" s="9" t="n">
        <v>-546.290877154731</v>
      </c>
      <c r="E18" s="9" t="n">
        <v>152.153805625424</v>
      </c>
      <c r="F18" s="9" t="n">
        <v>1692.00922404842</v>
      </c>
      <c r="G18" s="9" t="n">
        <v>6328.45315353294</v>
      </c>
      <c r="H18" s="9" t="n">
        <v>0</v>
      </c>
    </row>
    <row r="20" ht="16" customHeight="1">
      <c r="A20" s="2" t="n">
        <v>2027</v>
      </c>
      <c r="B20" s="9" t="n">
        <v>17596.723360074</v>
      </c>
      <c r="C20" s="9" t="n">
        <v>-3573.19045606104</v>
      </c>
      <c r="D20" s="9" t="n">
        <v>-489.931365830069</v>
      </c>
      <c r="E20" s="9" t="n">
        <v>284.009404951402</v>
      </c>
      <c r="F20" s="9" t="n">
        <v>2438.76561818642</v>
      </c>
      <c r="G20" s="9" t="n">
        <v>6175.24015292052</v>
      </c>
      <c r="H20" s="9" t="n">
        <v>0</v>
      </c>
    </row>
    <row r="22" ht="16" customHeight="1">
      <c r="A22" s="2" t="n">
        <v>2028</v>
      </c>
      <c r="B22" s="9" t="n">
        <v>21915.7187343194</v>
      </c>
      <c r="C22" s="9" t="n">
        <v>-4304.80595208566</v>
      </c>
      <c r="D22" s="9" t="n">
        <v>-444.145755573623</v>
      </c>
      <c r="E22" s="9" t="n">
        <v>435.632139174976</v>
      </c>
      <c r="F22" s="9" t="n">
        <v>3515.25195524358</v>
      </c>
      <c r="G22" s="9" t="n">
        <v>8614.5713934042</v>
      </c>
      <c r="H22" s="9" t="n">
        <v>0</v>
      </c>
    </row>
    <row r="24" ht="16" customHeight="1">
      <c r="A24" s="2" t="n">
        <v>2029</v>
      </c>
      <c r="B24" s="9" t="n">
        <v>26130.150445871</v>
      </c>
      <c r="C24" s="9" t="n">
        <v>-5016.12029573066</v>
      </c>
      <c r="D24" s="9" t="n">
        <v>-408.455088417152</v>
      </c>
      <c r="E24" s="9" t="n">
        <v>609.9853987327811</v>
      </c>
      <c r="F24" s="9" t="n">
        <v>5067.1681515741</v>
      </c>
      <c r="G24" s="9" t="n">
        <v>10409.5162803684</v>
      </c>
      <c r="H24" s="9" t="n">
        <v>0</v>
      </c>
    </row>
    <row r="26" ht="16" customHeight="1">
      <c r="A26" s="2" t="n">
        <v>2030</v>
      </c>
      <c r="B26" s="9" t="n">
        <v>30242.55</v>
      </c>
      <c r="C26" s="9" t="n">
        <v>-5706.12845454545</v>
      </c>
      <c r="D26" s="9" t="n">
        <v>-382.397400000002</v>
      </c>
      <c r="E26" s="9" t="n">
        <v>810.4768308</v>
      </c>
      <c r="F26" s="9" t="n">
        <v>7304.6707125</v>
      </c>
      <c r="G26" s="9" t="n">
        <v>10157.5</v>
      </c>
      <c r="H26" s="9" t="n">
        <v>650</v>
      </c>
    </row>
    <row r="28" ht="16" customHeight="1">
      <c r="A28" s="2" t="n">
        <v>2031</v>
      </c>
      <c r="B28" s="9" t="n">
        <v>31677.822486521</v>
      </c>
      <c r="C28" s="9" t="n">
        <v>-5897.95806603091</v>
      </c>
      <c r="D28" s="9" t="n">
        <v>-336.208571466374</v>
      </c>
      <c r="E28" s="9" t="n">
        <v>947.419791371005</v>
      </c>
      <c r="F28" s="9" t="n">
        <v>7931.02779141388</v>
      </c>
      <c r="G28" s="9" t="n">
        <v>10457.1577868835</v>
      </c>
      <c r="H28" s="9" t="n">
        <v>1160.49997474065</v>
      </c>
    </row>
    <row r="30" ht="16" customHeight="1">
      <c r="A30" s="2" t="n">
        <v>2032</v>
      </c>
      <c r="B30" s="9" t="n">
        <v>33100.6665741849</v>
      </c>
      <c r="C30" s="9" t="n">
        <v>-6084.59137541326</v>
      </c>
      <c r="D30" s="9" t="n">
        <v>-291.835543364318</v>
      </c>
      <c r="E30" s="9" t="n">
        <v>1096.55722418186</v>
      </c>
      <c r="F30" s="9" t="n">
        <v>8611.316327908529</v>
      </c>
      <c r="G30" s="9" t="n">
        <v>15587.5002293626</v>
      </c>
      <c r="H30" s="9" t="n">
        <v>1104.93324093031</v>
      </c>
    </row>
    <row r="32" ht="16" customHeight="1">
      <c r="A32" s="2" t="n">
        <v>2033</v>
      </c>
      <c r="B32" s="9" t="n">
        <v>34511.1898837394</v>
      </c>
      <c r="C32" s="9" t="n">
        <v>-6265.66058113182</v>
      </c>
      <c r="D32" s="9" t="n">
        <v>-249.250332082279</v>
      </c>
      <c r="E32" s="9" t="n">
        <v>1258.97502041375</v>
      </c>
      <c r="F32" s="9" t="n">
        <v>9350.22276233529</v>
      </c>
      <c r="G32" s="9" t="n">
        <v>15618.1459066291</v>
      </c>
      <c r="H32" s="9" t="n">
        <v>1879.3986410056</v>
      </c>
    </row>
    <row r="34" ht="16" customHeight="1">
      <c r="A34" s="2" t="n">
        <v>2034</v>
      </c>
      <c r="B34" s="9" t="n">
        <v>35909.499104016</v>
      </c>
      <c r="C34" s="9" t="n">
        <v>-6440.76515635209</v>
      </c>
      <c r="D34" s="9" t="n">
        <v>-208.425302489666</v>
      </c>
      <c r="E34" s="9" t="n">
        <v>1435.85576749136</v>
      </c>
      <c r="F34" s="9" t="n">
        <v>10152.8489281592</v>
      </c>
      <c r="G34" s="9" t="n">
        <v>15729.1859239336</v>
      </c>
      <c r="H34" s="9" t="n">
        <v>2197.54653783509</v>
      </c>
    </row>
    <row r="36" ht="16" customHeight="1">
      <c r="A36" s="2" t="n">
        <v>2035</v>
      </c>
      <c r="B36" s="9" t="n">
        <v>37295.7</v>
      </c>
      <c r="C36" s="9" t="n">
        <v>-6609.46892727272</v>
      </c>
      <c r="D36" s="9" t="n">
        <v>-169.333164000001</v>
      </c>
      <c r="E36" s="9" t="n">
        <v>1628.48735967273</v>
      </c>
      <c r="F36" s="9" t="n">
        <v>11024.750413138</v>
      </c>
      <c r="G36" s="9" t="n">
        <v>18604.1538</v>
      </c>
      <c r="H36" s="9" t="n">
        <v>2499.87501846199</v>
      </c>
    </row>
    <row r="38" ht="16" customHeight="1">
      <c r="A38" s="2" t="n">
        <v>2036</v>
      </c>
      <c r="B38" s="9" t="n">
        <v>40910.5082298484</v>
      </c>
      <c r="C38" s="9" t="n">
        <v>-6778.60524286737</v>
      </c>
      <c r="D38" s="9" t="n">
        <v>496.047624322894</v>
      </c>
      <c r="E38" s="9" t="n">
        <v>1752.42571135477</v>
      </c>
      <c r="F38" s="9" t="n">
        <v>11331.3876756004</v>
      </c>
      <c r="G38" s="9" t="n">
        <v>20089.0891031489</v>
      </c>
      <c r="H38" s="9" t="n">
        <v>6548.16314408527</v>
      </c>
    </row>
    <row r="40" ht="16" customHeight="1">
      <c r="A40" s="2" t="n">
        <v>2037</v>
      </c>
      <c r="B40" s="9" t="n">
        <v>44442.9780986104</v>
      </c>
      <c r="C40" s="9" t="n">
        <v>-6907.19333956008</v>
      </c>
      <c r="D40" s="9" t="n">
        <v>1193.60083477922</v>
      </c>
      <c r="E40" s="9" t="n">
        <v>1882.88425322577</v>
      </c>
      <c r="F40" s="9" t="n">
        <v>11648.4068773239</v>
      </c>
      <c r="G40" s="9" t="n">
        <v>20175.5224951799</v>
      </c>
      <c r="H40" s="9" t="n">
        <v>11217.0653563584</v>
      </c>
    </row>
    <row r="42" ht="16" customHeight="1">
      <c r="A42" s="2" t="n">
        <v>2038</v>
      </c>
      <c r="B42" s="9" t="n">
        <v>47894.9851153795</v>
      </c>
      <c r="C42" s="9" t="n">
        <v>-6994.36903648059</v>
      </c>
      <c r="D42" s="9" t="n">
        <v>1924.88206495174</v>
      </c>
      <c r="E42" s="9" t="n">
        <v>2020.20600162833</v>
      </c>
      <c r="F42" s="9" t="n">
        <v>11976.3309605407</v>
      </c>
      <c r="G42" s="9" t="n">
        <v>19715.9629969474</v>
      </c>
      <c r="H42" s="9" t="n">
        <v>14433.7051747081</v>
      </c>
    </row>
    <row r="44" ht="16" customHeight="1">
      <c r="A44" s="2" t="n">
        <v>2039</v>
      </c>
      <c r="B44" s="9" t="n">
        <v>51268.3620687686</v>
      </c>
      <c r="C44" s="9" t="n">
        <v>-7039.20068444467</v>
      </c>
      <c r="D44" s="9" t="n">
        <v>2691.52212851449</v>
      </c>
      <c r="E44" s="9" t="n">
        <v>2164.75201842332</v>
      </c>
      <c r="F44" s="9" t="n">
        <v>12315.7222410946</v>
      </c>
      <c r="G44" s="9" t="n">
        <v>19266.8713779219</v>
      </c>
      <c r="H44" s="9" t="n">
        <v>16479.4990662582</v>
      </c>
    </row>
    <row r="46" ht="16" customHeight="1">
      <c r="A46" s="2" t="n">
        <v>2040</v>
      </c>
      <c r="B46" s="9" t="n">
        <v>54564.9</v>
      </c>
      <c r="C46" s="9" t="n">
        <v>-7040.68645142385</v>
      </c>
      <c r="D46" s="9" t="n">
        <v>3495.23069207333</v>
      </c>
      <c r="E46" s="9" t="n">
        <v>2316.90236033454</v>
      </c>
      <c r="F46" s="9" t="n">
        <v>12667.1860394615</v>
      </c>
      <c r="G46" s="9" t="n">
        <v>18828.0092</v>
      </c>
      <c r="H46" s="9" t="n">
        <v>18304.9132552627</v>
      </c>
    </row>
    <row r="48" ht="16" customHeight="1">
      <c r="A48" s="2" t="n">
        <v>2041</v>
      </c>
      <c r="B48" s="9" t="n">
        <v>56788.0038852799</v>
      </c>
      <c r="C48" s="9" t="n">
        <v>-6719.14863600089</v>
      </c>
      <c r="D48" s="9" t="n">
        <v>4469.76318478576</v>
      </c>
      <c r="E48" s="9" t="n">
        <v>2467.10244634095</v>
      </c>
      <c r="F48" s="9" t="n">
        <v>12751.804436074</v>
      </c>
      <c r="G48" s="9" t="n">
        <v>18532.0513699391</v>
      </c>
      <c r="H48" s="9" t="n">
        <v>19971.9670459224</v>
      </c>
    </row>
    <row r="50" ht="16" customHeight="1">
      <c r="A50" s="2" t="n">
        <v>2042</v>
      </c>
      <c r="B50" s="9" t="n">
        <v>58976.1627588542</v>
      </c>
      <c r="C50" s="9" t="n">
        <v>-6349.89216965258</v>
      </c>
      <c r="D50" s="9" t="n">
        <v>5498.79617522828</v>
      </c>
      <c r="E50" s="9" t="n">
        <v>2624.71316309237</v>
      </c>
      <c r="F50" s="9" t="n">
        <v>12839.7017499482</v>
      </c>
      <c r="G50" s="9" t="n">
        <v>18240.7457065648</v>
      </c>
      <c r="H50" s="9" t="n">
        <v>21517.8989812268</v>
      </c>
    </row>
    <row r="52" ht="16" customHeight="1">
      <c r="A52" s="2" t="n">
        <v>2043</v>
      </c>
      <c r="B52" s="9" t="n">
        <v>61129.9259220178</v>
      </c>
      <c r="C52" s="9" t="n">
        <v>-5930.73765896222</v>
      </c>
      <c r="D52" s="9" t="n">
        <v>6585.37759076612</v>
      </c>
      <c r="E52" s="9" t="n">
        <v>2790.10013919459</v>
      </c>
      <c r="F52" s="9" t="n">
        <v>12931.1153319733</v>
      </c>
      <c r="G52" s="9" t="n">
        <v>18853.1032429015</v>
      </c>
      <c r="H52" s="9" t="n">
        <v>22967.1846193939</v>
      </c>
    </row>
    <row r="54" ht="16" customHeight="1">
      <c r="A54" s="2" t="n">
        <v>2044</v>
      </c>
      <c r="B54" s="9" t="n">
        <v>63249.8340415885</v>
      </c>
      <c r="C54" s="9" t="n">
        <v>-5459.37721474553</v>
      </c>
      <c r="D54" s="9" t="n">
        <v>7732.72581337703</v>
      </c>
      <c r="E54" s="9" t="n">
        <v>2963.64704278098</v>
      </c>
      <c r="F54" s="9" t="n">
        <v>13026.3005005826</v>
      </c>
      <c r="G54" s="9" t="n">
        <v>18556.7509591092</v>
      </c>
      <c r="H54" s="9" t="n">
        <v>24336.9507381432</v>
      </c>
    </row>
    <row r="56" ht="16" customHeight="1">
      <c r="A56" s="2" t="n">
        <v>2045</v>
      </c>
      <c r="B56" s="9" t="n">
        <v>65336.419285632</v>
      </c>
      <c r="C56" s="9" t="n">
        <v>-4933.36742305342</v>
      </c>
      <c r="D56" s="9" t="n">
        <v>8944.239212284931</v>
      </c>
      <c r="E56" s="9" t="n">
        <v>3145.75647155368</v>
      </c>
      <c r="F56" s="9" t="n">
        <v>13125.5319058663</v>
      </c>
      <c r="G56" s="9" t="n">
        <v>18265.0570424291</v>
      </c>
      <c r="H56" s="9" t="n">
        <v>25639.7474226916</v>
      </c>
    </row>
    <row r="58" ht="16" customHeight="1">
      <c r="A58" s="2" t="n">
        <v>2046</v>
      </c>
      <c r="B58" s="9" t="n">
        <v>67390.2054570543</v>
      </c>
      <c r="C58" s="9" t="n">
        <v>-4350.12192323198</v>
      </c>
      <c r="D58" s="9" t="n">
        <v>10223.5062097038</v>
      </c>
      <c r="E58" s="9" t="n">
        <v>3336.85088673818</v>
      </c>
      <c r="F58" s="9" t="n">
        <v>13229.1049973341</v>
      </c>
      <c r="G58" s="9" t="n">
        <v>17977.948267901</v>
      </c>
      <c r="H58" s="9" t="n">
        <v>26885.1028135816</v>
      </c>
    </row>
    <row r="60" ht="16" customHeight="1">
      <c r="A60" s="2" t="n">
        <v>2047</v>
      </c>
      <c r="B60" s="9" t="n">
        <v>69411.7081250936</v>
      </c>
      <c r="C60" s="9" t="n">
        <v>-3706.90357119157</v>
      </c>
      <c r="D60" s="9" t="n">
        <v>11574.3159095061</v>
      </c>
      <c r="E60" s="9" t="n">
        <v>3537.37359311755</v>
      </c>
      <c r="F60" s="9" t="n">
        <v>13337.3376032105</v>
      </c>
      <c r="G60" s="9" t="n">
        <v>24576.1572994049</v>
      </c>
      <c r="H60" s="9" t="n">
        <v>28080.4570319684</v>
      </c>
    </row>
    <row r="62" ht="16" customHeight="1">
      <c r="A62" s="2" t="n">
        <v>2048</v>
      </c>
      <c r="B62" s="9" t="n">
        <v>71401.4347547456</v>
      </c>
      <c r="C62" s="9" t="n">
        <v>-3000.816164819</v>
      </c>
      <c r="D62" s="9" t="n">
        <v>13000.6693202963</v>
      </c>
      <c r="E62" s="9" t="n">
        <v>3747.78976742013</v>
      </c>
      <c r="F62" s="9" t="n">
        <v>13450.5716297423</v>
      </c>
      <c r="G62" s="9" t="n">
        <v>24189.8442214632</v>
      </c>
      <c r="H62" s="9" t="n">
        <v>29231.7541290801</v>
      </c>
    </row>
    <row r="64" ht="16" customHeight="1">
      <c r="A64" s="2" t="n">
        <v>2049</v>
      </c>
      <c r="B64" s="9" t="n">
        <v>73359.8848341542</v>
      </c>
      <c r="C64" s="9" t="n">
        <v>-2228.79570718207</v>
      </c>
      <c r="D64" s="9" t="n">
        <v>14506.7912061332</v>
      </c>
      <c r="E64" s="9" t="n">
        <v>3968.58753744608</v>
      </c>
      <c r="F64" s="9" t="n">
        <v>13569.1748896434</v>
      </c>
      <c r="G64" s="9" t="n">
        <v>23809.6036060458</v>
      </c>
      <c r="H64" s="9" t="n">
        <v>30343.8338653531</v>
      </c>
    </row>
    <row r="66" ht="16" customHeight="1">
      <c r="A66" s="2" t="n">
        <v>2050</v>
      </c>
      <c r="B66" s="9" t="n">
        <v>75287.55</v>
      </c>
      <c r="C66" s="9" t="n">
        <v>-1387.60118181817</v>
      </c>
      <c r="D66" s="9" t="n">
        <v>16097.1426</v>
      </c>
      <c r="E66" s="9" t="n">
        <v>4200.27911443636</v>
      </c>
      <c r="F66" s="9" t="n">
        <v>13693.5430695</v>
      </c>
      <c r="G66" s="9" t="n">
        <v>23435.34</v>
      </c>
      <c r="H66" s="9" t="n">
        <v>31420.7004130836</v>
      </c>
    </row>
    <row r="68" ht="16" customHeight="1">
      <c r="A68" s="2" t="n">
        <v>2051</v>
      </c>
      <c r="B68" s="9" t="n">
        <v>77208.1244668467</v>
      </c>
      <c r="C68" s="9" t="n">
        <v>-1292.38588768019</v>
      </c>
      <c r="D68" s="9" t="n">
        <v>16692.3557581614</v>
      </c>
      <c r="E68" s="9" t="n">
        <v>4307.01898293287</v>
      </c>
      <c r="F68" s="9" t="n">
        <v>13667.521241367</v>
      </c>
      <c r="G68" s="9" t="n">
        <v>23062.4530804368</v>
      </c>
      <c r="H68" s="9" t="n">
        <v>32465.7122375329</v>
      </c>
    </row>
    <row r="70" ht="16" customHeight="1">
      <c r="A70" s="2" t="n">
        <v>2052</v>
      </c>
      <c r="B70" s="9" t="n">
        <v>79098.1400812622</v>
      </c>
      <c r="C70" s="9" t="n">
        <v>-1182.25876106111</v>
      </c>
      <c r="D70" s="9" t="n">
        <v>17299.367316521</v>
      </c>
      <c r="E70" s="9" t="n">
        <v>4416.07098282632</v>
      </c>
      <c r="F70" s="9" t="n">
        <v>13642.9226245014</v>
      </c>
      <c r="G70" s="9" t="n">
        <v>22695.4992796072</v>
      </c>
      <c r="H70" s="9" t="n">
        <v>33481.7197357445</v>
      </c>
    </row>
    <row r="72" ht="16" customHeight="1">
      <c r="A72" s="2" t="n">
        <v>2053</v>
      </c>
      <c r="B72" s="9" t="n">
        <v>80958.0830745686</v>
      </c>
      <c r="C72" s="9" t="n">
        <v>-1057.12895194082</v>
      </c>
      <c r="D72" s="9" t="n">
        <v>17918.411144652</v>
      </c>
      <c r="E72" s="9" t="n">
        <v>4527.48519804199</v>
      </c>
      <c r="F72" s="9" t="n">
        <v>13619.7810567205</v>
      </c>
      <c r="G72" s="9" t="n">
        <v>22334.3841938299</v>
      </c>
      <c r="H72" s="9" t="n">
        <v>34471.1672187847</v>
      </c>
    </row>
    <row r="74" ht="16" customHeight="1">
      <c r="A74" s="2" t="n">
        <v>2054</v>
      </c>
      <c r="B74" s="9" t="n">
        <v>82788.4319415112</v>
      </c>
      <c r="C74" s="9" t="n">
        <v>-916.90049767238</v>
      </c>
      <c r="D74" s="9" t="n">
        <v>18549.7257479236</v>
      </c>
      <c r="E74" s="9" t="n">
        <v>4641.31279739139</v>
      </c>
      <c r="F74" s="9" t="n">
        <v>13598.1314964475</v>
      </c>
      <c r="G74" s="9" t="n">
        <v>21979.0149215097</v>
      </c>
      <c r="H74" s="9" t="n">
        <v>35436.1699321266</v>
      </c>
    </row>
    <row r="76" ht="16" customHeight="1">
      <c r="A76" s="2" t="n">
        <v>2055</v>
      </c>
      <c r="B76" s="9" t="n">
        <v>84589.65756335809</v>
      </c>
      <c r="C76" s="9" t="n">
        <v>-761.472273159868</v>
      </c>
      <c r="D76" s="9" t="n">
        <v>19193.5543593925</v>
      </c>
      <c r="E76" s="9" t="n">
        <v>4757.60605807243</v>
      </c>
      <c r="F76" s="9" t="n">
        <v>13578.0100577851</v>
      </c>
      <c r="G76" s="9" t="n">
        <v>21629.3000392372</v>
      </c>
      <c r="H76" s="9" t="n">
        <v>36378.5732093574</v>
      </c>
    </row>
    <row r="78" ht="16" customHeight="1">
      <c r="A78" s="2" t="n">
        <v>2056</v>
      </c>
      <c r="B78" s="9" t="n">
        <v>86362.2233290404</v>
      </c>
      <c r="C78" s="9" t="n">
        <v>-590.73793920333</v>
      </c>
      <c r="D78" s="9" t="n">
        <v>19850.1450335159</v>
      </c>
      <c r="E78" s="9" t="n">
        <v>4876.41838967852</v>
      </c>
      <c r="F78" s="9" t="n">
        <v>13559.4540466986</v>
      </c>
      <c r="G78" s="9" t="n">
        <v>21285.1495782694</v>
      </c>
      <c r="H78" s="9" t="n">
        <v>37299.9985851998</v>
      </c>
    </row>
    <row r="80" ht="16" customHeight="1">
      <c r="A80" s="2" t="n">
        <v>2057</v>
      </c>
      <c r="B80" s="9" t="n">
        <v>88106.585254365</v>
      </c>
      <c r="C80" s="9" t="n">
        <v>-404.585888987502</v>
      </c>
      <c r="D80" s="9" t="n">
        <v>20519.7507417215</v>
      </c>
      <c r="E80" s="9" t="n">
        <v>4997.80435872788</v>
      </c>
      <c r="F80" s="9" t="n">
        <v>13542.5019983406</v>
      </c>
      <c r="G80" s="9" t="n">
        <v>20946.4750013833</v>
      </c>
      <c r="H80" s="9" t="n">
        <v>38201.8802235283</v>
      </c>
    </row>
    <row r="82" ht="16" customHeight="1">
      <c r="A82" s="2" t="n">
        <v>2058</v>
      </c>
      <c r="B82" s="9" t="n">
        <v>89823.1920993308</v>
      </c>
      <c r="C82" s="9" t="n">
        <v>-202.899192690275</v>
      </c>
      <c r="D82" s="9" t="n">
        <v>21202.6294698733</v>
      </c>
      <c r="E82" s="9" t="n">
        <v>5121.81971372403</v>
      </c>
      <c r="F82" s="9" t="n">
        <v>13527.1937155558</v>
      </c>
      <c r="G82" s="9" t="n">
        <v>20613.1891800992</v>
      </c>
      <c r="H82" s="9" t="n">
        <v>39085.4940399467</v>
      </c>
    </row>
    <row r="84" ht="16" customHeight="1">
      <c r="A84" s="2" t="n">
        <v>2059</v>
      </c>
      <c r="B84" s="9" t="n">
        <v>91512.4854835778</v>
      </c>
      <c r="C84" s="9" t="n">
        <v>14.4444598139886</v>
      </c>
      <c r="D84" s="9" t="n">
        <v>21899.0443176674</v>
      </c>
      <c r="E84" s="9" t="n">
        <v>5248.52141075929</v>
      </c>
      <c r="F84" s="9" t="n">
        <v>13513.5703086009</v>
      </c>
      <c r="G84" s="9" t="n">
        <v>20285.2063722654</v>
      </c>
      <c r="H84" s="9" t="n">
        <v>39951.9812362566</v>
      </c>
    </row>
    <row r="86" ht="16" customHeight="1">
      <c r="A86" s="2" t="n">
        <v>2060</v>
      </c>
      <c r="B86" s="9" t="n">
        <v>93174.89999999999</v>
      </c>
      <c r="C86" s="9" t="n">
        <v>247.572818181857</v>
      </c>
      <c r="D86" s="9" t="n">
        <v>22609.2636</v>
      </c>
      <c r="E86" s="9" t="n">
        <v>5377.96763967273</v>
      </c>
      <c r="F86" s="9" t="n">
        <v>13501.67423612</v>
      </c>
      <c r="G86" s="9" t="n">
        <v>19962.4422</v>
      </c>
      <c r="H86" s="9" t="n">
        <v>40802.3675060254</v>
      </c>
    </row>
  </sheetData>
  <mergeCells count="4">
    <mergeCell ref="A12:H12"/>
    <mergeCell ref="A4:D4"/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7030A0"/>
    <outlinePr summaryBelow="1" summaryRight="1"/>
    <pageSetUpPr/>
  </sheetPr>
  <dimension ref="A1:F47"/>
  <sheetViews>
    <sheetView workbookViewId="0">
      <selection activeCell="A1" sqref="A1:F1"/>
    </sheetView>
  </sheetViews>
  <sheetFormatPr baseColWidth="10" defaultColWidth="9" defaultRowHeight="14"/>
  <cols>
    <col width="28" customWidth="1" min="1" max="6"/>
  </cols>
  <sheetData>
    <row r="1" ht="20.5" customHeight="1">
      <c r="A1" s="38" t="inlineStr">
        <is>
          <t>龙头企业碳减排目标对标与企业级路径验证</t>
        </is>
      </c>
      <c r="B1" s="35" t="n"/>
      <c r="C1" s="35" t="n"/>
      <c r="D1" s="35" t="n"/>
      <c r="E1" s="35" t="n"/>
      <c r="F1" s="36" t="n"/>
    </row>
    <row r="3" ht="17.5" customHeight="1">
      <c r="A3" s="34" t="inlineStr">
        <is>
          <t>国内龙头钢铁企业碳减排目标</t>
        </is>
      </c>
      <c r="B3" s="35" t="n"/>
      <c r="C3" s="35" t="n"/>
      <c r="D3" s="35" t="n"/>
      <c r="E3" s="35" t="n"/>
      <c r="F3" s="36" t="n"/>
    </row>
    <row r="4" ht="17" customHeight="1">
      <c r="A4" s="1" t="inlineStr">
        <is>
          <t>企业</t>
        </is>
      </c>
      <c r="B4" s="1" t="inlineStr">
        <is>
          <t>碳达峰年份</t>
        </is>
      </c>
      <c r="C4" s="1" t="inlineStr">
        <is>
          <t>目标年份</t>
        </is>
      </c>
      <c r="D4" s="1" t="inlineStr">
        <is>
          <t>目标减排幅度</t>
        </is>
      </c>
      <c r="E4" s="1" t="inlineStr">
        <is>
          <t>2024-2030折算减排幅度</t>
        </is>
      </c>
      <c r="F4" s="1" t="inlineStr">
        <is>
          <t>备注</t>
        </is>
      </c>
    </row>
    <row r="5" ht="31" customHeight="1">
      <c r="A5" s="2" t="inlineStr">
        <is>
          <t>宝武集团</t>
        </is>
      </c>
      <c r="B5" s="2" t="n">
        <v>2023</v>
      </c>
      <c r="C5" s="2" t="n">
        <v>2035</v>
      </c>
      <c r="D5" s="37" t="inlineStr">
        <is>
          <t>较2020年吨钢碳排放强度下降30%</t>
        </is>
      </c>
      <c r="E5" s="5" t="inlineStr">
        <is>
          <t>13.3%</t>
        </is>
      </c>
      <c r="F5" s="7" t="inlineStr">
        <is>
          <t>行业龙头</t>
        </is>
      </c>
    </row>
    <row r="7" ht="31" customHeight="1">
      <c r="A7" s="2" t="inlineStr">
        <is>
          <t>宝钢股份</t>
        </is>
      </c>
      <c r="B7" s="2" t="n">
        <v>2023</v>
      </c>
      <c r="C7" s="2" t="n">
        <v>2035</v>
      </c>
      <c r="D7" s="37" t="inlineStr">
        <is>
          <t>较2020年吨钢碳排放强度下降30%</t>
        </is>
      </c>
      <c r="E7" s="5" t="inlineStr">
        <is>
          <t>13.3%</t>
        </is>
      </c>
      <c r="F7" s="7" t="n"/>
    </row>
    <row r="9" ht="31" customHeight="1">
      <c r="A9" s="2" t="inlineStr">
        <is>
          <t>鞍钢股份</t>
        </is>
      </c>
      <c r="B9" s="2" t="n">
        <v>2025</v>
      </c>
      <c r="C9" s="2" t="n">
        <v>2035</v>
      </c>
      <c r="D9" s="37" t="inlineStr">
        <is>
          <t>较2025年吨钢碳排放强度下降30%</t>
        </is>
      </c>
      <c r="E9" s="5" t="inlineStr">
        <is>
          <t>19.3%</t>
        </is>
      </c>
      <c r="F9" s="7" t="n"/>
    </row>
    <row r="11" ht="17" customHeight="1">
      <c r="A11" s="2" t="inlineStr">
        <is>
          <t>首钢股份</t>
        </is>
      </c>
      <c r="B11" s="2" t="n">
        <v>2025</v>
      </c>
      <c r="C11" s="2" t="n">
        <v>2035</v>
      </c>
      <c r="D11" s="37" t="inlineStr">
        <is>
          <t>较2025年碳排放总量下降30%</t>
        </is>
      </c>
      <c r="E11" s="5" t="inlineStr">
        <is>
          <t>19.3%</t>
        </is>
      </c>
      <c r="F11" s="7" t="inlineStr">
        <is>
          <t>总量指标</t>
        </is>
      </c>
    </row>
    <row r="13" ht="31" customHeight="1">
      <c r="A13" s="2" t="inlineStr">
        <is>
          <t>河钢集团</t>
        </is>
      </c>
      <c r="B13" s="2" t="n">
        <v>2022</v>
      </c>
      <c r="C13" s="2" t="n">
        <v>2030</v>
      </c>
      <c r="D13" s="37" t="inlineStr">
        <is>
          <t>较2022年吨钢碳排放强度下降30%</t>
        </is>
      </c>
      <c r="E13" s="5" t="inlineStr">
        <is>
          <t>23.4%</t>
        </is>
      </c>
      <c r="F13" s="7" t="n"/>
    </row>
    <row r="15" ht="31" customHeight="1">
      <c r="A15" s="2" t="inlineStr">
        <is>
          <t>建龙集团</t>
        </is>
      </c>
      <c r="B15" s="2" t="n">
        <v>2025</v>
      </c>
      <c r="C15" s="2" t="n">
        <v>2033</v>
      </c>
      <c r="D15" s="37" t="inlineStr">
        <is>
          <t>较2020年吨钢碳排放强度下降25%</t>
        </is>
      </c>
      <c r="E15" s="5" t="inlineStr">
        <is>
          <t>12.4%</t>
        </is>
      </c>
      <c r="F15" s="7" t="n"/>
    </row>
    <row r="17" ht="31" customHeight="1">
      <c r="A17" s="2" t="inlineStr">
        <is>
          <t>中信特钢</t>
        </is>
      </c>
      <c r="B17" s="2" t="n">
        <v>2030</v>
      </c>
      <c r="C17" s="2" t="n">
        <v>2030</v>
      </c>
      <c r="D17" s="37" t="inlineStr">
        <is>
          <t>较2021年吨钢碳排放强度下降5%</t>
        </is>
      </c>
      <c r="E17" s="5" t="inlineStr">
        <is>
          <t>3.4%</t>
        </is>
      </c>
      <c r="F17" s="7" t="inlineStr">
        <is>
          <t>已达峰</t>
        </is>
      </c>
    </row>
    <row r="19" ht="17" customHeight="1">
      <c r="A19" s="4" t="inlineStr">
        <is>
          <t>2024-2030年碳减排目标均值</t>
        </is>
      </c>
      <c r="E19" s="5" t="inlineStr">
        <is>
          <t>14.9%</t>
        </is>
      </c>
    </row>
    <row r="21" ht="17.5" customHeight="1">
      <c r="A21" s="34" t="inlineStr">
        <is>
          <t>标杆企业路径还原(宝山钢铁)</t>
        </is>
      </c>
      <c r="B21" s="35" t="n"/>
      <c r="C21" s="35" t="n"/>
      <c r="D21" s="35" t="n"/>
      <c r="E21" s="35" t="n"/>
      <c r="F21" s="36" t="n"/>
    </row>
    <row r="22" ht="17" customHeight="1">
      <c r="A22" s="1" t="inlineStr">
        <is>
          <t>指标</t>
        </is>
      </c>
      <c r="B22" s="1" t="inlineStr">
        <is>
          <t>2020</t>
        </is>
      </c>
      <c r="C22" s="1" t="inlineStr">
        <is>
          <t>2023</t>
        </is>
      </c>
      <c r="D22" s="1" t="inlineStr">
        <is>
          <t>2024</t>
        </is>
      </c>
      <c r="E22" s="1" t="inlineStr">
        <is>
          <t>2025(目标)</t>
        </is>
      </c>
      <c r="F22" s="1" t="inlineStr">
        <is>
          <t>2030(目标)</t>
        </is>
      </c>
    </row>
    <row r="23" ht="17" customHeight="1">
      <c r="A23" s="4" t="inlineStr">
        <is>
          <t>吨钢碳排放强度(tCO2e/t)</t>
        </is>
      </c>
      <c r="B23" s="2" t="inlineStr">
        <is>
          <t>2.13</t>
        </is>
      </c>
      <c r="C23" s="2" t="inlineStr">
        <is>
          <t>2.04</t>
        </is>
      </c>
      <c r="D23" s="2" t="inlineStr">
        <is>
          <t>2.00</t>
        </is>
      </c>
      <c r="E23" s="2" t="inlineStr">
        <is>
          <t>1.96</t>
        </is>
      </c>
      <c r="F23" s="2" t="inlineStr">
        <is>
          <t>1.81</t>
        </is>
      </c>
    </row>
    <row r="24" ht="17" customHeight="1">
      <c r="A24" s="4" t="inlineStr">
        <is>
          <t>相对指数(2020=1.00)</t>
        </is>
      </c>
      <c r="B24" s="2" t="inlineStr">
        <is>
          <t>1.00</t>
        </is>
      </c>
      <c r="C24" s="2" t="inlineStr">
        <is>
          <t>0.96</t>
        </is>
      </c>
      <c r="D24" s="2" t="inlineStr">
        <is>
          <t>0.94</t>
        </is>
      </c>
      <c r="E24" s="2" t="inlineStr">
        <is>
          <t>0.92</t>
        </is>
      </c>
      <c r="F24" s="2" t="inlineStr">
        <is>
          <t>0.85</t>
        </is>
      </c>
    </row>
    <row r="25" ht="17" customHeight="1">
      <c r="A25" s="5" t="inlineStr">
        <is>
          <t>阶段降幅</t>
        </is>
      </c>
      <c r="B25" s="6" t="inlineStr">
        <is>
          <t>-</t>
        </is>
      </c>
      <c r="C25" s="6" t="inlineStr">
        <is>
          <t>-4.0%</t>
        </is>
      </c>
      <c r="D25" s="6" t="inlineStr">
        <is>
          <t>-2.0%</t>
        </is>
      </c>
      <c r="E25" s="6" t="inlineStr">
        <is>
          <t>-2.2%</t>
        </is>
      </c>
      <c r="F25" s="6" t="inlineStr">
        <is>
          <t>-7.1%</t>
        </is>
      </c>
    </row>
    <row r="27" ht="17.5" customHeight="1">
      <c r="A27" s="34" t="inlineStr">
        <is>
          <t>阶段性降碳斜率校验</t>
        </is>
      </c>
      <c r="B27" s="35" t="n"/>
      <c r="C27" s="35" t="n"/>
      <c r="D27" s="35" t="n"/>
      <c r="E27" s="35" t="n"/>
      <c r="F27" s="36" t="n"/>
    </row>
    <row r="28" ht="17" customHeight="1">
      <c r="A28" s="1" t="inlineStr">
        <is>
          <t>计算步骤</t>
        </is>
      </c>
      <c r="B28" s="1" t="inlineStr">
        <is>
          <t>公式</t>
        </is>
      </c>
      <c r="C28" s="1" t="inlineStr">
        <is>
          <t>结果</t>
        </is>
      </c>
    </row>
    <row r="29" ht="17" customHeight="1">
      <c r="A29" s="2" t="inlineStr">
        <is>
          <t>2025/2024碳强度比</t>
        </is>
      </c>
      <c r="B29" s="2" t="inlineStr">
        <is>
          <t>0.92/0.94</t>
        </is>
      </c>
      <c r="C29" s="2" t="inlineStr">
        <is>
          <t>0.979</t>
        </is>
      </c>
    </row>
    <row r="30" ht="17" customHeight="1">
      <c r="A30" s="2" t="inlineStr">
        <is>
          <t>2030/2025碳强度比</t>
        </is>
      </c>
      <c r="B30" s="2" t="inlineStr">
        <is>
          <t>0.85/0.92</t>
        </is>
      </c>
      <c r="C30" s="2" t="inlineStr">
        <is>
          <t>0.924</t>
        </is>
      </c>
    </row>
    <row r="31" ht="17" customHeight="1">
      <c r="A31" s="2" t="inlineStr">
        <is>
          <t>2030/2024碳强度比</t>
        </is>
      </c>
      <c r="B31" s="2" t="inlineStr">
        <is>
          <t>0.85/0.94</t>
        </is>
      </c>
      <c r="C31" s="2" t="inlineStr">
        <is>
          <t>0.905</t>
        </is>
      </c>
    </row>
    <row r="32" ht="17" customHeight="1">
      <c r="A32" s="2" t="inlineStr">
        <is>
          <t>2024-2030累计降幅</t>
        </is>
      </c>
      <c r="B32" s="2" t="inlineStr">
        <is>
          <t>1-0.905</t>
        </is>
      </c>
      <c r="C32" s="2" t="inlineStr">
        <is>
          <t>9.5%</t>
        </is>
      </c>
    </row>
    <row r="33" ht="17" customHeight="1">
      <c r="A33" s="2" t="inlineStr">
        <is>
          <t>CAGR折算比例</t>
        </is>
      </c>
      <c r="B33" s="2" t="inlineStr">
        <is>
          <t>9.5%/13.3%</t>
        </is>
      </c>
      <c r="C33" s="2" t="inlineStr">
        <is>
          <t>71.4%</t>
        </is>
      </c>
    </row>
    <row r="34" ht="17" customHeight="1">
      <c r="A34" s="2" t="inlineStr">
        <is>
          <t>行业龙头修正后降幅</t>
        </is>
      </c>
      <c r="B34" s="2" t="inlineStr">
        <is>
          <t>14.9%×71.4%</t>
        </is>
      </c>
      <c r="C34" s="2" t="inlineStr">
        <is>
          <t>10.64%</t>
        </is>
      </c>
    </row>
    <row r="36" ht="17.5" customHeight="1">
      <c r="A36" s="34" t="inlineStr">
        <is>
          <t>行业降碳能力分层测算</t>
        </is>
      </c>
      <c r="B36" s="35" t="n"/>
      <c r="C36" s="35" t="n"/>
      <c r="D36" s="35" t="n"/>
      <c r="E36" s="35" t="n"/>
      <c r="F36" s="36" t="n"/>
    </row>
    <row r="37" ht="17" customHeight="1">
      <c r="A37" s="1" t="inlineStr">
        <is>
          <t>分类</t>
        </is>
      </c>
      <c r="B37" s="1" t="inlineStr">
        <is>
          <t>占比</t>
        </is>
      </c>
      <c r="C37" s="1" t="inlineStr">
        <is>
          <t>降碳幅度</t>
        </is>
      </c>
      <c r="D37" s="1" t="inlineStr">
        <is>
          <t>加权</t>
        </is>
      </c>
    </row>
    <row r="38" ht="17" customHeight="1">
      <c r="A38" s="4" t="inlineStr">
        <is>
          <t>头部企业(CR10)</t>
        </is>
      </c>
      <c r="B38" s="4" t="inlineStr">
        <is>
          <t>42%</t>
        </is>
      </c>
      <c r="C38" s="4" t="inlineStr">
        <is>
          <t>10.64%</t>
        </is>
      </c>
      <c r="D38" s="4" t="inlineStr">
        <is>
          <t>4.47%</t>
        </is>
      </c>
    </row>
    <row r="39" ht="17" customHeight="1">
      <c r="A39" s="4" t="inlineStr">
        <is>
          <t>其他企业</t>
        </is>
      </c>
      <c r="B39" s="4" t="inlineStr">
        <is>
          <t>58%</t>
        </is>
      </c>
      <c r="C39" s="4" t="inlineStr">
        <is>
          <t>5.85%</t>
        </is>
      </c>
      <c r="D39" s="4" t="inlineStr">
        <is>
          <t>3.39%</t>
        </is>
      </c>
    </row>
    <row r="40" ht="17" customHeight="1">
      <c r="A40" s="5" t="inlineStr">
        <is>
          <t>行业整体</t>
        </is>
      </c>
      <c r="B40" s="5" t="inlineStr">
        <is>
          <t>100%</t>
        </is>
      </c>
      <c r="C40" s="5" t="inlineStr">
        <is>
          <t>-</t>
        </is>
      </c>
      <c r="D40" s="5" t="inlineStr">
        <is>
          <t>7.86%</t>
        </is>
      </c>
    </row>
    <row r="42" ht="17.5" customHeight="1">
      <c r="A42" s="34" t="inlineStr">
        <is>
          <t>信贷组合校正</t>
        </is>
      </c>
      <c r="B42" s="35" t="n"/>
      <c r="C42" s="35" t="n"/>
      <c r="D42" s="35" t="n"/>
      <c r="E42" s="35" t="n"/>
      <c r="F42" s="36" t="n"/>
    </row>
    <row r="43" ht="17" customHeight="1">
      <c r="A43" s="1" t="inlineStr">
        <is>
          <t>客户类型</t>
        </is>
      </c>
      <c r="B43" s="1" t="inlineStr">
        <is>
          <t>占比</t>
        </is>
      </c>
      <c r="C43" s="1" t="inlineStr">
        <is>
          <t>降碳贡献</t>
        </is>
      </c>
      <c r="D43" s="1" t="inlineStr">
        <is>
          <t>加权</t>
        </is>
      </c>
    </row>
    <row r="44" ht="17" customHeight="1">
      <c r="A44" s="4" t="inlineStr">
        <is>
          <t>国央企(结构减排)</t>
        </is>
      </c>
      <c r="B44" s="4" t="inlineStr">
        <is>
          <t>70%</t>
        </is>
      </c>
      <c r="C44" s="4" t="inlineStr">
        <is>
          <t>7.86%</t>
        </is>
      </c>
      <c r="D44" s="4" t="inlineStr">
        <is>
          <t>5.50%</t>
        </is>
      </c>
    </row>
    <row r="45" ht="17" customHeight="1">
      <c r="A45" s="4" t="inlineStr">
        <is>
          <t>流动资金贷款</t>
        </is>
      </c>
      <c r="B45" s="4" t="inlineStr">
        <is>
          <t>20%</t>
        </is>
      </c>
      <c r="C45" s="4" t="inlineStr">
        <is>
          <t>0%</t>
        </is>
      </c>
      <c r="D45" s="4" t="inlineStr">
        <is>
          <t>0%</t>
        </is>
      </c>
    </row>
    <row r="46" ht="17" customHeight="1">
      <c r="A46" s="4" t="inlineStr">
        <is>
          <t>其他</t>
        </is>
      </c>
      <c r="B46" s="4" t="inlineStr">
        <is>
          <t>10%</t>
        </is>
      </c>
      <c r="C46" s="4" t="inlineStr">
        <is>
          <t>3%</t>
        </is>
      </c>
      <c r="D46" s="4" t="inlineStr">
        <is>
          <t>0.30%</t>
        </is>
      </c>
    </row>
    <row r="47" ht="17" customHeight="1">
      <c r="A47" s="5" t="inlineStr">
        <is>
          <t>组合碳强度降幅</t>
        </is>
      </c>
      <c r="B47" s="5" t="inlineStr">
        <is>
          <t>100%</t>
        </is>
      </c>
      <c r="C47" s="5" t="inlineStr">
        <is>
          <t>-</t>
        </is>
      </c>
      <c r="D47" s="5" t="inlineStr">
        <is>
          <t>5.80%</t>
        </is>
      </c>
    </row>
  </sheetData>
  <mergeCells count="6">
    <mergeCell ref="A42:F42"/>
    <mergeCell ref="A36:F36"/>
    <mergeCell ref="A1:F1"/>
    <mergeCell ref="A27:F27"/>
    <mergeCell ref="A3:F3"/>
    <mergeCell ref="A21:F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2026-04-16T05:49:00Z</dcterms:created>
  <dcterms:modified xsi:type="dcterms:W3CDTF">2026-05-12T03:10:25Z</dcterms:modified>
  <cp:lastModifiedBy>戴银龙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2052-6.13.1.8913</vt:lpwstr>
  </property>
  <property name="ICV" fmtid="{D5CDD505-2E9C-101B-9397-08002B2CF9AE}" pid="3">
    <vt:lpwstr>6D5461062B51B35C08CF016A10F7CBED_43</vt:lpwstr>
  </property>
</Properties>
</file>