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/>
  <mc:AlternateContent xmlns:mc="http://schemas.openxmlformats.org/markup-compatibility/2006">
    <mc:Choice Requires="x15">
      <x15ac:absPath xmlns:x15ac="http://schemas.microsoft.com/office/spreadsheetml/2010/11/ac" url="/Users/daiyinlong/Desktop/"/>
    </mc:Choice>
  </mc:AlternateContent>
  <xr:revisionPtr revIDLastSave="0" documentId="13_ncr:1_{D2343D19-CB91-9646-B902-EE6508DEA6F9}" xr6:coauthVersionLast="47" xr6:coauthVersionMax="47" xr10:uidLastSave="{00000000-0000-0000-0000-000000000000}"/>
  <bookViews>
    <workbookView xWindow="0" yWindow="760" windowWidth="30860" windowHeight="10600" activeTab="3" xr2:uid="{00000000-000D-0000-FFFF-FFFF00000000}"/>
  </bookViews>
  <sheets>
    <sheet name="模型总览与设计逻辑" sheetId="1" r:id="rId1"/>
    <sheet name="积极情景" sheetId="2" r:id="rId2"/>
    <sheet name="适度情景" sheetId="3" r:id="rId3"/>
    <sheet name="保守情景" sheetId="4" r:id="rId4"/>
    <sheet name="汇总对比与可视化看板" sheetId="5" r:id="rId5"/>
    <sheet name="金融机构目标设置（组合估算）" sheetId="6" r:id="rId6"/>
    <sheet name="金融机构目标设置（企业）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65" i="4" l="1"/>
  <c r="B64" i="4"/>
  <c r="B63" i="4"/>
  <c r="B62" i="4"/>
  <c r="B60" i="4"/>
  <c r="B57" i="4"/>
  <c r="B56" i="4"/>
  <c r="B54" i="4"/>
  <c r="H53" i="4"/>
  <c r="B53" i="4"/>
  <c r="B51" i="4"/>
  <c r="B48" i="4"/>
  <c r="V47" i="4"/>
  <c r="U47" i="4"/>
  <c r="T47" i="4"/>
  <c r="K47" i="4"/>
  <c r="B45" i="4"/>
  <c r="AM42" i="4"/>
  <c r="AL42" i="4"/>
  <c r="AJ42" i="4"/>
  <c r="AF42" i="4"/>
  <c r="AB42" i="4"/>
  <c r="V42" i="4"/>
  <c r="U42" i="4"/>
  <c r="S42" i="4"/>
  <c r="R42" i="4"/>
  <c r="Q42" i="4"/>
  <c r="L42" i="4"/>
  <c r="I42" i="4"/>
  <c r="H42" i="4"/>
  <c r="F42" i="4"/>
  <c r="E42" i="4"/>
  <c r="B42" i="4"/>
  <c r="AM41" i="4"/>
  <c r="AL41" i="4"/>
  <c r="AK41" i="4"/>
  <c r="AK42" i="4" s="1"/>
  <c r="AJ41" i="4"/>
  <c r="AI41" i="4"/>
  <c r="AH41" i="4"/>
  <c r="AG41" i="4"/>
  <c r="AF41" i="4"/>
  <c r="AE41" i="4"/>
  <c r="AE42" i="4" s="1"/>
  <c r="AD41" i="4"/>
  <c r="AD42" i="4" s="1"/>
  <c r="AC41" i="4"/>
  <c r="AB41" i="4"/>
  <c r="AA41" i="4"/>
  <c r="Z41" i="4"/>
  <c r="Z42" i="4" s="1"/>
  <c r="Y41" i="4"/>
  <c r="X41" i="4"/>
  <c r="X42" i="4" s="1"/>
  <c r="W41" i="4"/>
  <c r="V41" i="4"/>
  <c r="U41" i="4"/>
  <c r="T41" i="4"/>
  <c r="T42" i="4" s="1"/>
  <c r="S41" i="4"/>
  <c r="R41" i="4"/>
  <c r="Q41" i="4"/>
  <c r="P41" i="4"/>
  <c r="O41" i="4"/>
  <c r="N41" i="4"/>
  <c r="M41" i="4"/>
  <c r="L41" i="4"/>
  <c r="K41" i="4"/>
  <c r="K42" i="4" s="1"/>
  <c r="J41" i="4"/>
  <c r="J42" i="4" s="1"/>
  <c r="I41" i="4"/>
  <c r="H41" i="4"/>
  <c r="G41" i="4"/>
  <c r="F41" i="4"/>
  <c r="E41" i="4"/>
  <c r="D41" i="4"/>
  <c r="C41" i="4"/>
  <c r="B41" i="4"/>
  <c r="B38" i="4"/>
  <c r="C37" i="4"/>
  <c r="B37" i="4"/>
  <c r="AL31" i="4"/>
  <c r="AL33" i="4" s="1"/>
  <c r="AL53" i="4" s="1"/>
  <c r="AK31" i="4"/>
  <c r="AK33" i="4" s="1"/>
  <c r="AK53" i="4" s="1"/>
  <c r="U31" i="4"/>
  <c r="U33" i="4" s="1"/>
  <c r="U53" i="4" s="1"/>
  <c r="N31" i="4"/>
  <c r="N33" i="4" s="1"/>
  <c r="N53" i="4" s="1"/>
  <c r="AL27" i="4"/>
  <c r="AL50" i="4" s="1"/>
  <c r="AJ27" i="4"/>
  <c r="AJ50" i="4" s="1"/>
  <c r="AD27" i="4"/>
  <c r="AD50" i="4" s="1"/>
  <c r="X27" i="4"/>
  <c r="X50" i="4" s="1"/>
  <c r="T27" i="4"/>
  <c r="T50" i="4" s="1"/>
  <c r="P27" i="4"/>
  <c r="P50" i="4" s="1"/>
  <c r="O27" i="4"/>
  <c r="O50" i="4" s="1"/>
  <c r="J27" i="4"/>
  <c r="J50" i="4" s="1"/>
  <c r="AM26" i="4"/>
  <c r="AK26" i="4"/>
  <c r="AJ26" i="4"/>
  <c r="AI26" i="4"/>
  <c r="AI27" i="4" s="1"/>
  <c r="AI50" i="4" s="1"/>
  <c r="AH26" i="4"/>
  <c r="AG26" i="4"/>
  <c r="AF26" i="4"/>
  <c r="Z26" i="4"/>
  <c r="Z27" i="4" s="1"/>
  <c r="Z50" i="4" s="1"/>
  <c r="Y26" i="4"/>
  <c r="W26" i="4"/>
  <c r="V26" i="4"/>
  <c r="V27" i="4" s="1"/>
  <c r="V50" i="4" s="1"/>
  <c r="P26" i="4"/>
  <c r="M26" i="4"/>
  <c r="F26" i="4"/>
  <c r="F27" i="4" s="1"/>
  <c r="F50" i="4" s="1"/>
  <c r="E26" i="4"/>
  <c r="D26" i="4"/>
  <c r="D27" i="4" s="1"/>
  <c r="D50" i="4" s="1"/>
  <c r="AL25" i="4"/>
  <c r="AL47" i="4" s="1"/>
  <c r="AH25" i="4"/>
  <c r="AH47" i="4" s="1"/>
  <c r="AG25" i="4"/>
  <c r="AG47" i="4" s="1"/>
  <c r="AE25" i="4"/>
  <c r="AE47" i="4" s="1"/>
  <c r="AD25" i="4"/>
  <c r="AD47" i="4" s="1"/>
  <c r="AB25" i="4"/>
  <c r="AB47" i="4" s="1"/>
  <c r="X25" i="4"/>
  <c r="X47" i="4" s="1"/>
  <c r="V25" i="4"/>
  <c r="U25" i="4"/>
  <c r="T25" i="4"/>
  <c r="R25" i="4"/>
  <c r="R47" i="4" s="1"/>
  <c r="P25" i="4"/>
  <c r="P47" i="4" s="1"/>
  <c r="N25" i="4"/>
  <c r="N47" i="4" s="1"/>
  <c r="M25" i="4"/>
  <c r="M47" i="4" s="1"/>
  <c r="H25" i="4"/>
  <c r="H47" i="4" s="1"/>
  <c r="F25" i="4"/>
  <c r="F47" i="4" s="1"/>
  <c r="D25" i="4"/>
  <c r="D47" i="4" s="1"/>
  <c r="AD24" i="4"/>
  <c r="AD29" i="4" s="1"/>
  <c r="Z24" i="4"/>
  <c r="AL23" i="4"/>
  <c r="AL28" i="4" s="1"/>
  <c r="AL44" i="4" s="1"/>
  <c r="AL45" i="4" s="1"/>
  <c r="AL48" i="4" s="1"/>
  <c r="AK23" i="4"/>
  <c r="AD23" i="4"/>
  <c r="AD28" i="4" s="1"/>
  <c r="AD44" i="4" s="1"/>
  <c r="AD45" i="4" s="1"/>
  <c r="AD48" i="4" s="1"/>
  <c r="AD51" i="4" s="1"/>
  <c r="AD54" i="4" s="1"/>
  <c r="Z23" i="4"/>
  <c r="U23" i="4"/>
  <c r="O23" i="4"/>
  <c r="M23" i="4"/>
  <c r="M28" i="4" s="1"/>
  <c r="M44" i="4" s="1"/>
  <c r="AM20" i="4"/>
  <c r="AL20" i="4"/>
  <c r="AL26" i="4" s="1"/>
  <c r="AK20" i="4"/>
  <c r="AJ20" i="4"/>
  <c r="AI20" i="4"/>
  <c r="AH20" i="4"/>
  <c r="AG20" i="4"/>
  <c r="AF20" i="4"/>
  <c r="AF27" i="4" s="1"/>
  <c r="AF50" i="4" s="1"/>
  <c r="AE20" i="4"/>
  <c r="AD20" i="4"/>
  <c r="AD26" i="4" s="1"/>
  <c r="AC20" i="4"/>
  <c r="AB20" i="4"/>
  <c r="AB26" i="4" s="1"/>
  <c r="AA20" i="4"/>
  <c r="Z20" i="4"/>
  <c r="Y20" i="4"/>
  <c r="X20" i="4"/>
  <c r="X26" i="4" s="1"/>
  <c r="W20" i="4"/>
  <c r="V20" i="4"/>
  <c r="U20" i="4"/>
  <c r="T20" i="4"/>
  <c r="T26" i="4" s="1"/>
  <c r="S20" i="4"/>
  <c r="R20" i="4"/>
  <c r="Q20" i="4"/>
  <c r="Q26" i="4" s="1"/>
  <c r="P20" i="4"/>
  <c r="O20" i="4"/>
  <c r="O26" i="4" s="1"/>
  <c r="N20" i="4"/>
  <c r="N26" i="4" s="1"/>
  <c r="N27" i="4" s="1"/>
  <c r="N50" i="4" s="1"/>
  <c r="M20" i="4"/>
  <c r="L20" i="4"/>
  <c r="K20" i="4"/>
  <c r="J20" i="4"/>
  <c r="J26" i="4" s="1"/>
  <c r="I20" i="4"/>
  <c r="H20" i="4"/>
  <c r="H26" i="4" s="1"/>
  <c r="G20" i="4"/>
  <c r="G26" i="4" s="1"/>
  <c r="G27" i="4" s="1"/>
  <c r="G50" i="4" s="1"/>
  <c r="F20" i="4"/>
  <c r="E20" i="4"/>
  <c r="D20" i="4"/>
  <c r="C20" i="4"/>
  <c r="B20" i="4"/>
  <c r="AM19" i="4"/>
  <c r="AM25" i="4" s="1"/>
  <c r="AM47" i="4" s="1"/>
  <c r="AL19" i="4"/>
  <c r="AK19" i="4"/>
  <c r="AK25" i="4" s="1"/>
  <c r="AK47" i="4" s="1"/>
  <c r="AJ19" i="4"/>
  <c r="AJ25" i="4" s="1"/>
  <c r="AJ47" i="4" s="1"/>
  <c r="AI19" i="4"/>
  <c r="AI25" i="4" s="1"/>
  <c r="AI47" i="4" s="1"/>
  <c r="AH19" i="4"/>
  <c r="AG19" i="4"/>
  <c r="AF19" i="4"/>
  <c r="AF25" i="4" s="1"/>
  <c r="AF47" i="4" s="1"/>
  <c r="AE19" i="4"/>
  <c r="AD19" i="4"/>
  <c r="AC19" i="4"/>
  <c r="AC25" i="4" s="1"/>
  <c r="AC47" i="4" s="1"/>
  <c r="AB19" i="4"/>
  <c r="AA19" i="4"/>
  <c r="AA25" i="4" s="1"/>
  <c r="AA47" i="4" s="1"/>
  <c r="Z19" i="4"/>
  <c r="Z25" i="4" s="1"/>
  <c r="Z47" i="4" s="1"/>
  <c r="Y19" i="4"/>
  <c r="Y25" i="4" s="1"/>
  <c r="Y47" i="4" s="1"/>
  <c r="X19" i="4"/>
  <c r="W19" i="4"/>
  <c r="W25" i="4" s="1"/>
  <c r="W47" i="4" s="1"/>
  <c r="V19" i="4"/>
  <c r="U19" i="4"/>
  <c r="T19" i="4"/>
  <c r="S19" i="4"/>
  <c r="S25" i="4" s="1"/>
  <c r="S47" i="4" s="1"/>
  <c r="R19" i="4"/>
  <c r="Q19" i="4"/>
  <c r="Q25" i="4" s="1"/>
  <c r="Q47" i="4" s="1"/>
  <c r="P19" i="4"/>
  <c r="O19" i="4"/>
  <c r="N19" i="4"/>
  <c r="M19" i="4"/>
  <c r="L19" i="4"/>
  <c r="L25" i="4" s="1"/>
  <c r="L47" i="4" s="1"/>
  <c r="K19" i="4"/>
  <c r="K25" i="4" s="1"/>
  <c r="J19" i="4"/>
  <c r="J25" i="4" s="1"/>
  <c r="J47" i="4" s="1"/>
  <c r="I19" i="4"/>
  <c r="I25" i="4" s="1"/>
  <c r="I47" i="4" s="1"/>
  <c r="H19" i="4"/>
  <c r="G19" i="4"/>
  <c r="G25" i="4" s="1"/>
  <c r="G47" i="4" s="1"/>
  <c r="F19" i="4"/>
  <c r="E19" i="4"/>
  <c r="E25" i="4" s="1"/>
  <c r="E47" i="4" s="1"/>
  <c r="D19" i="4"/>
  <c r="C19" i="4"/>
  <c r="C25" i="4" s="1"/>
  <c r="C47" i="4" s="1"/>
  <c r="B19" i="4"/>
  <c r="AI18" i="4"/>
  <c r="AH18" i="4"/>
  <c r="AE18" i="4"/>
  <c r="AD18" i="4"/>
  <c r="AD31" i="4" s="1"/>
  <c r="AD33" i="4" s="1"/>
  <c r="AD53" i="4" s="1"/>
  <c r="AC18" i="4"/>
  <c r="AB18" i="4"/>
  <c r="U18" i="4"/>
  <c r="U24" i="4" s="1"/>
  <c r="T18" i="4"/>
  <c r="S18" i="4"/>
  <c r="R18" i="4"/>
  <c r="P18" i="4"/>
  <c r="P31" i="4" s="1"/>
  <c r="P33" i="4" s="1"/>
  <c r="P53" i="4" s="1"/>
  <c r="K18" i="4"/>
  <c r="J18" i="4"/>
  <c r="I18" i="4"/>
  <c r="F18" i="4"/>
  <c r="E18" i="4"/>
  <c r="D18" i="4"/>
  <c r="B18" i="4"/>
  <c r="AM17" i="4"/>
  <c r="AM18" i="4" s="1"/>
  <c r="AL17" i="4"/>
  <c r="AL18" i="4" s="1"/>
  <c r="AK17" i="4"/>
  <c r="AK18" i="4" s="1"/>
  <c r="AK24" i="4" s="1"/>
  <c r="AJ17" i="4"/>
  <c r="AJ18" i="4" s="1"/>
  <c r="AI17" i="4"/>
  <c r="AH17" i="4"/>
  <c r="AG17" i="4"/>
  <c r="AG18" i="4" s="1"/>
  <c r="AF17" i="4"/>
  <c r="AF18" i="4" s="1"/>
  <c r="AE17" i="4"/>
  <c r="AD17" i="4"/>
  <c r="AC17" i="4"/>
  <c r="AB17" i="4"/>
  <c r="AA17" i="4"/>
  <c r="AA18" i="4" s="1"/>
  <c r="Z17" i="4"/>
  <c r="Z18" i="4" s="1"/>
  <c r="Y17" i="4"/>
  <c r="Y18" i="4" s="1"/>
  <c r="Y23" i="4" s="1"/>
  <c r="X17" i="4"/>
  <c r="X18" i="4" s="1"/>
  <c r="W17" i="4"/>
  <c r="W18" i="4" s="1"/>
  <c r="V17" i="4"/>
  <c r="V18" i="4" s="1"/>
  <c r="U17" i="4"/>
  <c r="T17" i="4"/>
  <c r="S17" i="4"/>
  <c r="R17" i="4"/>
  <c r="Q17" i="4"/>
  <c r="Q18" i="4" s="1"/>
  <c r="P17" i="4"/>
  <c r="O17" i="4"/>
  <c r="O18" i="4" s="1"/>
  <c r="N17" i="4"/>
  <c r="N18" i="4" s="1"/>
  <c r="M17" i="4"/>
  <c r="M18" i="4" s="1"/>
  <c r="M31" i="4" s="1"/>
  <c r="M33" i="4" s="1"/>
  <c r="M53" i="4" s="1"/>
  <c r="L17" i="4"/>
  <c r="L18" i="4" s="1"/>
  <c r="K17" i="4"/>
  <c r="J17" i="4"/>
  <c r="I17" i="4"/>
  <c r="H17" i="4"/>
  <c r="H18" i="4" s="1"/>
  <c r="H31" i="4" s="1"/>
  <c r="H33" i="4" s="1"/>
  <c r="G17" i="4"/>
  <c r="G18" i="4" s="1"/>
  <c r="F17" i="4"/>
  <c r="E17" i="4"/>
  <c r="D17" i="4"/>
  <c r="C17" i="4"/>
  <c r="C18" i="4" s="1"/>
  <c r="B17" i="4"/>
  <c r="B65" i="3"/>
  <c r="B64" i="3"/>
  <c r="B63" i="3"/>
  <c r="B62" i="3"/>
  <c r="B60" i="3"/>
  <c r="B57" i="3"/>
  <c r="B56" i="3"/>
  <c r="B54" i="3"/>
  <c r="B53" i="3"/>
  <c r="B51" i="3"/>
  <c r="AJ50" i="3"/>
  <c r="X50" i="3"/>
  <c r="I50" i="3"/>
  <c r="B48" i="3"/>
  <c r="AF47" i="3"/>
  <c r="AA47" i="3"/>
  <c r="V47" i="3"/>
  <c r="U47" i="3"/>
  <c r="L47" i="3"/>
  <c r="K47" i="3"/>
  <c r="B45" i="3"/>
  <c r="AJ42" i="3"/>
  <c r="AI42" i="3"/>
  <c r="AH42" i="3"/>
  <c r="AG42" i="3"/>
  <c r="AF42" i="3"/>
  <c r="AE42" i="3"/>
  <c r="Z42" i="3"/>
  <c r="Y42" i="3"/>
  <c r="X42" i="3"/>
  <c r="W42" i="3"/>
  <c r="V42" i="3"/>
  <c r="U42" i="3"/>
  <c r="P42" i="3"/>
  <c r="N42" i="3"/>
  <c r="M42" i="3"/>
  <c r="L42" i="3"/>
  <c r="K42" i="3"/>
  <c r="J42" i="3"/>
  <c r="F42" i="3"/>
  <c r="B42" i="3"/>
  <c r="AM41" i="3"/>
  <c r="AL41" i="3"/>
  <c r="AL42" i="3" s="1"/>
  <c r="AK41" i="3"/>
  <c r="AJ41" i="3"/>
  <c r="AI41" i="3"/>
  <c r="AH41" i="3"/>
  <c r="AG41" i="3"/>
  <c r="AF41" i="3"/>
  <c r="AE41" i="3"/>
  <c r="AD41" i="3"/>
  <c r="AC41" i="3"/>
  <c r="AB41" i="3"/>
  <c r="AB42" i="3" s="1"/>
  <c r="AA41" i="3"/>
  <c r="Z41" i="3"/>
  <c r="Y41" i="3"/>
  <c r="X41" i="3"/>
  <c r="W41" i="3"/>
  <c r="V41" i="3"/>
  <c r="U41" i="3"/>
  <c r="T41" i="3"/>
  <c r="T42" i="3" s="1"/>
  <c r="S41" i="3"/>
  <c r="R41" i="3"/>
  <c r="Q41" i="3"/>
  <c r="P41" i="3"/>
  <c r="O41" i="3"/>
  <c r="O42" i="3" s="1"/>
  <c r="N41" i="3"/>
  <c r="M41" i="3"/>
  <c r="L41" i="3"/>
  <c r="K41" i="3"/>
  <c r="J41" i="3"/>
  <c r="I41" i="3"/>
  <c r="I42" i="3" s="1"/>
  <c r="H41" i="3"/>
  <c r="H42" i="3" s="1"/>
  <c r="G41" i="3"/>
  <c r="F41" i="3"/>
  <c r="E41" i="3"/>
  <c r="E42" i="3" s="1"/>
  <c r="D41" i="3"/>
  <c r="D42" i="3" s="1"/>
  <c r="C41" i="3"/>
  <c r="C42" i="3" s="1"/>
  <c r="B41" i="3"/>
  <c r="B38" i="3"/>
  <c r="C37" i="3"/>
  <c r="C38" i="3" s="1"/>
  <c r="B37" i="3"/>
  <c r="AK33" i="3"/>
  <c r="AK53" i="3" s="1"/>
  <c r="L33" i="3"/>
  <c r="L53" i="3" s="1"/>
  <c r="L31" i="3"/>
  <c r="AA28" i="3"/>
  <c r="AA44" i="3" s="1"/>
  <c r="AJ27" i="3"/>
  <c r="AH27" i="3"/>
  <c r="AH50" i="3" s="1"/>
  <c r="AA27" i="3"/>
  <c r="AA50" i="3" s="1"/>
  <c r="Y27" i="3"/>
  <c r="Y50" i="3" s="1"/>
  <c r="X27" i="3"/>
  <c r="O27" i="3"/>
  <c r="O50" i="3" s="1"/>
  <c r="M27" i="3"/>
  <c r="M50" i="3" s="1"/>
  <c r="I27" i="3"/>
  <c r="C27" i="3"/>
  <c r="C50" i="3" s="1"/>
  <c r="AM26" i="3"/>
  <c r="AM27" i="3" s="1"/>
  <c r="AM50" i="3" s="1"/>
  <c r="AK26" i="3"/>
  <c r="AK27" i="3" s="1"/>
  <c r="AK50" i="3" s="1"/>
  <c r="AH26" i="3"/>
  <c r="AG26" i="3"/>
  <c r="AG27" i="3" s="1"/>
  <c r="AG50" i="3" s="1"/>
  <c r="AC26" i="3"/>
  <c r="AC27" i="3" s="1"/>
  <c r="AC50" i="3" s="1"/>
  <c r="AA26" i="3"/>
  <c r="Z26" i="3"/>
  <c r="W26" i="3"/>
  <c r="W27" i="3" s="1"/>
  <c r="W50" i="3" s="1"/>
  <c r="S26" i="3"/>
  <c r="S27" i="3" s="1"/>
  <c r="S50" i="3" s="1"/>
  <c r="Q26" i="3"/>
  <c r="P26" i="3"/>
  <c r="N26" i="3"/>
  <c r="N27" i="3" s="1"/>
  <c r="N50" i="3" s="1"/>
  <c r="M26" i="3"/>
  <c r="L26" i="3"/>
  <c r="L27" i="3" s="1"/>
  <c r="L50" i="3" s="1"/>
  <c r="I26" i="3"/>
  <c r="F26" i="3"/>
  <c r="D26" i="3"/>
  <c r="D27" i="3" s="1"/>
  <c r="D50" i="3" s="1"/>
  <c r="C26" i="3"/>
  <c r="AL25" i="3"/>
  <c r="AL47" i="3" s="1"/>
  <c r="AK25" i="3"/>
  <c r="AK47" i="3" s="1"/>
  <c r="AI25" i="3"/>
  <c r="AI47" i="3" s="1"/>
  <c r="AE25" i="3"/>
  <c r="AE47" i="3" s="1"/>
  <c r="AA25" i="3"/>
  <c r="Y25" i="3"/>
  <c r="Y47" i="3" s="1"/>
  <c r="W25" i="3"/>
  <c r="W47" i="3" s="1"/>
  <c r="U25" i="3"/>
  <c r="P25" i="3"/>
  <c r="P47" i="3" s="1"/>
  <c r="O25" i="3"/>
  <c r="O47" i="3" s="1"/>
  <c r="N25" i="3"/>
  <c r="N47" i="3" s="1"/>
  <c r="M25" i="3"/>
  <c r="M47" i="3" s="1"/>
  <c r="K25" i="3"/>
  <c r="G25" i="3"/>
  <c r="G47" i="3" s="1"/>
  <c r="E25" i="3"/>
  <c r="E47" i="3" s="1"/>
  <c r="D25" i="3"/>
  <c r="D47" i="3" s="1"/>
  <c r="C25" i="3"/>
  <c r="C47" i="3" s="1"/>
  <c r="AL24" i="3"/>
  <c r="AB24" i="3"/>
  <c r="AM23" i="3"/>
  <c r="AL23" i="3"/>
  <c r="AH23" i="3"/>
  <c r="AH28" i="3" s="1"/>
  <c r="AH44" i="3" s="1"/>
  <c r="AH45" i="3" s="1"/>
  <c r="AD23" i="3"/>
  <c r="AC23" i="3"/>
  <c r="AA23" i="3"/>
  <c r="AA24" i="3" s="1"/>
  <c r="S23" i="3"/>
  <c r="Q23" i="3"/>
  <c r="L23" i="3"/>
  <c r="L28" i="3" s="1"/>
  <c r="L44" i="3" s="1"/>
  <c r="L45" i="3" s="1"/>
  <c r="L48" i="3" s="1"/>
  <c r="L51" i="3" s="1"/>
  <c r="I23" i="3"/>
  <c r="AM20" i="3"/>
  <c r="AL20" i="3"/>
  <c r="AK20" i="3"/>
  <c r="AJ20" i="3"/>
  <c r="AJ26" i="3" s="1"/>
  <c r="AI20" i="3"/>
  <c r="AI26" i="3" s="1"/>
  <c r="AH20" i="3"/>
  <c r="AG20" i="3"/>
  <c r="AF20" i="3"/>
  <c r="AE20" i="3"/>
  <c r="AD20" i="3"/>
  <c r="AC20" i="3"/>
  <c r="AB20" i="3"/>
  <c r="AA20" i="3"/>
  <c r="Z20" i="3"/>
  <c r="Y20" i="3"/>
  <c r="Y26" i="3" s="1"/>
  <c r="X20" i="3"/>
  <c r="X26" i="3" s="1"/>
  <c r="W20" i="3"/>
  <c r="V20" i="3"/>
  <c r="V26" i="3" s="1"/>
  <c r="U20" i="3"/>
  <c r="T20" i="3"/>
  <c r="S20" i="3"/>
  <c r="R20" i="3"/>
  <c r="Q20" i="3"/>
  <c r="Q27" i="3" s="1"/>
  <c r="Q50" i="3" s="1"/>
  <c r="P20" i="3"/>
  <c r="O20" i="3"/>
  <c r="O26" i="3" s="1"/>
  <c r="N20" i="3"/>
  <c r="M20" i="3"/>
  <c r="L20" i="3"/>
  <c r="K20" i="3"/>
  <c r="J20" i="3"/>
  <c r="I20" i="3"/>
  <c r="H20" i="3"/>
  <c r="G20" i="3"/>
  <c r="F20" i="3"/>
  <c r="F27" i="3" s="1"/>
  <c r="F50" i="3" s="1"/>
  <c r="E20" i="3"/>
  <c r="E26" i="3" s="1"/>
  <c r="D20" i="3"/>
  <c r="C20" i="3"/>
  <c r="B20" i="3"/>
  <c r="AM19" i="3"/>
  <c r="AL19" i="3"/>
  <c r="AK19" i="3"/>
  <c r="AJ19" i="3"/>
  <c r="AJ25" i="3" s="1"/>
  <c r="AJ47" i="3" s="1"/>
  <c r="AI19" i="3"/>
  <c r="AH19" i="3"/>
  <c r="AH25" i="3" s="1"/>
  <c r="AH47" i="3" s="1"/>
  <c r="AG19" i="3"/>
  <c r="AG25" i="3" s="1"/>
  <c r="AG47" i="3" s="1"/>
  <c r="AF19" i="3"/>
  <c r="AF25" i="3" s="1"/>
  <c r="AE19" i="3"/>
  <c r="AD19" i="3"/>
  <c r="AD25" i="3" s="1"/>
  <c r="AD47" i="3" s="1"/>
  <c r="AC19" i="3"/>
  <c r="AB19" i="3"/>
  <c r="AB25" i="3" s="1"/>
  <c r="AB47" i="3" s="1"/>
  <c r="AA19" i="3"/>
  <c r="Z19" i="3"/>
  <c r="Z25" i="3" s="1"/>
  <c r="Z47" i="3" s="1"/>
  <c r="Y19" i="3"/>
  <c r="X19" i="3"/>
  <c r="X25" i="3" s="1"/>
  <c r="X47" i="3" s="1"/>
  <c r="W19" i="3"/>
  <c r="V19" i="3"/>
  <c r="V25" i="3" s="1"/>
  <c r="U19" i="3"/>
  <c r="T19" i="3"/>
  <c r="T25" i="3" s="1"/>
  <c r="T47" i="3" s="1"/>
  <c r="S19" i="3"/>
  <c r="R19" i="3"/>
  <c r="R25" i="3" s="1"/>
  <c r="R47" i="3" s="1"/>
  <c r="Q19" i="3"/>
  <c r="Q25" i="3" s="1"/>
  <c r="Q47" i="3" s="1"/>
  <c r="P19" i="3"/>
  <c r="O19" i="3"/>
  <c r="N19" i="3"/>
  <c r="M19" i="3"/>
  <c r="L19" i="3"/>
  <c r="L25" i="3" s="1"/>
  <c r="K19" i="3"/>
  <c r="J19" i="3"/>
  <c r="J25" i="3" s="1"/>
  <c r="J47" i="3" s="1"/>
  <c r="I19" i="3"/>
  <c r="H19" i="3"/>
  <c r="H25" i="3" s="1"/>
  <c r="H47" i="3" s="1"/>
  <c r="G19" i="3"/>
  <c r="F19" i="3"/>
  <c r="F25" i="3" s="1"/>
  <c r="F47" i="3" s="1"/>
  <c r="E19" i="3"/>
  <c r="D19" i="3"/>
  <c r="C19" i="3"/>
  <c r="B19" i="3"/>
  <c r="AK18" i="3"/>
  <c r="AK31" i="3" s="1"/>
  <c r="AG18" i="3"/>
  <c r="AF18" i="3"/>
  <c r="AE18" i="3"/>
  <c r="AD18" i="3"/>
  <c r="AD31" i="3" s="1"/>
  <c r="AD33" i="3" s="1"/>
  <c r="AD53" i="3" s="1"/>
  <c r="AA18" i="3"/>
  <c r="X18" i="3"/>
  <c r="X31" i="3" s="1"/>
  <c r="X33" i="3" s="1"/>
  <c r="X53" i="3" s="1"/>
  <c r="V18" i="3"/>
  <c r="V31" i="3" s="1"/>
  <c r="V33" i="3" s="1"/>
  <c r="V53" i="3" s="1"/>
  <c r="U18" i="3"/>
  <c r="T18" i="3"/>
  <c r="Q18" i="3"/>
  <c r="Q31" i="3" s="1"/>
  <c r="Q33" i="3" s="1"/>
  <c r="Q53" i="3" s="1"/>
  <c r="M18" i="3"/>
  <c r="K18" i="3"/>
  <c r="J18" i="3"/>
  <c r="G18" i="3"/>
  <c r="B18" i="3"/>
  <c r="AM17" i="3"/>
  <c r="AM18" i="3" s="1"/>
  <c r="AL17" i="3"/>
  <c r="AL18" i="3" s="1"/>
  <c r="AK17" i="3"/>
  <c r="AJ17" i="3"/>
  <c r="AJ18" i="3" s="1"/>
  <c r="AI17" i="3"/>
  <c r="AI18" i="3" s="1"/>
  <c r="AH17" i="3"/>
  <c r="AH18" i="3" s="1"/>
  <c r="AH31" i="3" s="1"/>
  <c r="AH33" i="3" s="1"/>
  <c r="AH53" i="3" s="1"/>
  <c r="AG17" i="3"/>
  <c r="AF17" i="3"/>
  <c r="AE17" i="3"/>
  <c r="AD17" i="3"/>
  <c r="AC17" i="3"/>
  <c r="AC18" i="3" s="1"/>
  <c r="AB17" i="3"/>
  <c r="AB18" i="3" s="1"/>
  <c r="AB23" i="3" s="1"/>
  <c r="AA17" i="3"/>
  <c r="Z17" i="3"/>
  <c r="Z18" i="3" s="1"/>
  <c r="Y17" i="3"/>
  <c r="Y18" i="3" s="1"/>
  <c r="X17" i="3"/>
  <c r="W17" i="3"/>
  <c r="W18" i="3" s="1"/>
  <c r="W31" i="3" s="1"/>
  <c r="W33" i="3" s="1"/>
  <c r="W53" i="3" s="1"/>
  <c r="V17" i="3"/>
  <c r="U17" i="3"/>
  <c r="T17" i="3"/>
  <c r="S17" i="3"/>
  <c r="S18" i="3" s="1"/>
  <c r="R17" i="3"/>
  <c r="R18" i="3" s="1"/>
  <c r="Q17" i="3"/>
  <c r="P17" i="3"/>
  <c r="P18" i="3" s="1"/>
  <c r="O17" i="3"/>
  <c r="O18" i="3" s="1"/>
  <c r="N17" i="3"/>
  <c r="N18" i="3" s="1"/>
  <c r="M17" i="3"/>
  <c r="L17" i="3"/>
  <c r="L18" i="3" s="1"/>
  <c r="K17" i="3"/>
  <c r="J17" i="3"/>
  <c r="I17" i="3"/>
  <c r="I18" i="3" s="1"/>
  <c r="H17" i="3"/>
  <c r="H18" i="3" s="1"/>
  <c r="G17" i="3"/>
  <c r="F17" i="3"/>
  <c r="F18" i="3" s="1"/>
  <c r="E17" i="3"/>
  <c r="E18" i="3" s="1"/>
  <c r="D17" i="3"/>
  <c r="D18" i="3" s="1"/>
  <c r="C17" i="3"/>
  <c r="C18" i="3" s="1"/>
  <c r="C31" i="3" s="1"/>
  <c r="C33" i="3" s="1"/>
  <c r="C53" i="3" s="1"/>
  <c r="B17" i="3"/>
  <c r="B65" i="2"/>
  <c r="B64" i="2"/>
  <c r="B63" i="2"/>
  <c r="B62" i="2"/>
  <c r="B60" i="2"/>
  <c r="B57" i="2"/>
  <c r="B56" i="2"/>
  <c r="B54" i="2"/>
  <c r="B53" i="2"/>
  <c r="B51" i="2"/>
  <c r="M50" i="2"/>
  <c r="B48" i="2"/>
  <c r="AE47" i="2"/>
  <c r="H47" i="2"/>
  <c r="B45" i="2"/>
  <c r="AM42" i="2"/>
  <c r="AL42" i="2"/>
  <c r="AG42" i="2"/>
  <c r="AF42" i="2"/>
  <c r="AD42" i="2"/>
  <c r="AC42" i="2"/>
  <c r="V42" i="2"/>
  <c r="U42" i="2"/>
  <c r="T42" i="2"/>
  <c r="S42" i="2"/>
  <c r="L42" i="2"/>
  <c r="K42" i="2"/>
  <c r="J42" i="2"/>
  <c r="I42" i="2"/>
  <c r="H42" i="2"/>
  <c r="C42" i="2"/>
  <c r="B42" i="2"/>
  <c r="AM41" i="2"/>
  <c r="AL41" i="2"/>
  <c r="AK41" i="2"/>
  <c r="AJ41" i="2"/>
  <c r="AI41" i="2"/>
  <c r="AH41" i="2"/>
  <c r="AG41" i="2"/>
  <c r="AF41" i="2"/>
  <c r="AE41" i="2"/>
  <c r="AE42" i="2" s="1"/>
  <c r="AD41" i="2"/>
  <c r="AC41" i="2"/>
  <c r="AB41" i="2"/>
  <c r="AB42" i="2" s="1"/>
  <c r="AA41" i="2"/>
  <c r="Z41" i="2"/>
  <c r="Y41" i="2"/>
  <c r="X41" i="2"/>
  <c r="W41" i="2"/>
  <c r="W42" i="2" s="1"/>
  <c r="V41" i="2"/>
  <c r="U41" i="2"/>
  <c r="T41" i="2"/>
  <c r="S41" i="2"/>
  <c r="R41" i="2"/>
  <c r="R42" i="2" s="1"/>
  <c r="Q41" i="2"/>
  <c r="Q42" i="2" s="1"/>
  <c r="P41" i="2"/>
  <c r="O41" i="2"/>
  <c r="N41" i="2"/>
  <c r="N42" i="2" s="1"/>
  <c r="M41" i="2"/>
  <c r="M42" i="2" s="1"/>
  <c r="L41" i="2"/>
  <c r="K41" i="2"/>
  <c r="J41" i="2"/>
  <c r="I41" i="2"/>
  <c r="H41" i="2"/>
  <c r="G41" i="2"/>
  <c r="F41" i="2"/>
  <c r="E41" i="2"/>
  <c r="E42" i="2" s="1"/>
  <c r="D41" i="2"/>
  <c r="C41" i="2"/>
  <c r="B41" i="2"/>
  <c r="B38" i="2"/>
  <c r="C37" i="2"/>
  <c r="C38" i="2" s="1"/>
  <c r="B37" i="2"/>
  <c r="AA31" i="2"/>
  <c r="AA33" i="2" s="1"/>
  <c r="AA53" i="2" s="1"/>
  <c r="AH27" i="2"/>
  <c r="AH50" i="2" s="1"/>
  <c r="AG27" i="2"/>
  <c r="AG50" i="2" s="1"/>
  <c r="X27" i="2"/>
  <c r="X50" i="2" s="1"/>
  <c r="W27" i="2"/>
  <c r="W50" i="2" s="1"/>
  <c r="N27" i="2"/>
  <c r="N50" i="2" s="1"/>
  <c r="M27" i="2"/>
  <c r="J27" i="2"/>
  <c r="J50" i="2" s="1"/>
  <c r="C27" i="2"/>
  <c r="C50" i="2" s="1"/>
  <c r="AM26" i="2"/>
  <c r="AG26" i="2"/>
  <c r="AF26" i="2"/>
  <c r="AF27" i="2" s="1"/>
  <c r="AF50" i="2" s="1"/>
  <c r="AE26" i="2"/>
  <c r="AD26" i="2"/>
  <c r="AC26" i="2"/>
  <c r="W26" i="2"/>
  <c r="V26" i="2"/>
  <c r="V27" i="2" s="1"/>
  <c r="V50" i="2" s="1"/>
  <c r="S26" i="2"/>
  <c r="R26" i="2"/>
  <c r="Q26" i="2"/>
  <c r="M26" i="2"/>
  <c r="J26" i="2"/>
  <c r="I26" i="2"/>
  <c r="C26" i="2"/>
  <c r="AM25" i="2"/>
  <c r="AM47" i="2" s="1"/>
  <c r="AL25" i="2"/>
  <c r="AL47" i="2" s="1"/>
  <c r="AK25" i="2"/>
  <c r="AK47" i="2" s="1"/>
  <c r="AE25" i="2"/>
  <c r="AA25" i="2"/>
  <c r="AA47" i="2" s="1"/>
  <c r="Z25" i="2"/>
  <c r="Z47" i="2" s="1"/>
  <c r="Y25" i="2"/>
  <c r="Y47" i="2" s="1"/>
  <c r="X25" i="2"/>
  <c r="X47" i="2" s="1"/>
  <c r="Q25" i="2"/>
  <c r="Q47" i="2" s="1"/>
  <c r="H25" i="2"/>
  <c r="G25" i="2"/>
  <c r="G47" i="2" s="1"/>
  <c r="F25" i="2"/>
  <c r="F47" i="2" s="1"/>
  <c r="W23" i="2"/>
  <c r="W28" i="2" s="1"/>
  <c r="W44" i="2" s="1"/>
  <c r="W45" i="2" s="1"/>
  <c r="W48" i="2" s="1"/>
  <c r="W51" i="2" s="1"/>
  <c r="M23" i="2"/>
  <c r="M24" i="2" s="1"/>
  <c r="M29" i="2" s="1"/>
  <c r="AM20" i="2"/>
  <c r="AL20" i="2"/>
  <c r="AK20" i="2"/>
  <c r="AK26" i="2" s="1"/>
  <c r="AJ20" i="2"/>
  <c r="AI20" i="2"/>
  <c r="AI26" i="2" s="1"/>
  <c r="AH20" i="2"/>
  <c r="AH26" i="2" s="1"/>
  <c r="AG20" i="2"/>
  <c r="AF20" i="2"/>
  <c r="AE20" i="2"/>
  <c r="AD20" i="2"/>
  <c r="AD27" i="2" s="1"/>
  <c r="AD50" i="2" s="1"/>
  <c r="AC20" i="2"/>
  <c r="AB20" i="2"/>
  <c r="AA20" i="2"/>
  <c r="Z20" i="2"/>
  <c r="Y20" i="2"/>
  <c r="Y26" i="2" s="1"/>
  <c r="X20" i="2"/>
  <c r="X26" i="2" s="1"/>
  <c r="W20" i="2"/>
  <c r="V20" i="2"/>
  <c r="U20" i="2"/>
  <c r="T20" i="2"/>
  <c r="S20" i="2"/>
  <c r="R20" i="2"/>
  <c r="Q20" i="2"/>
  <c r="P20" i="2"/>
  <c r="O20" i="2"/>
  <c r="O26" i="2" s="1"/>
  <c r="N20" i="2"/>
  <c r="N26" i="2" s="1"/>
  <c r="M20" i="2"/>
  <c r="L20" i="2"/>
  <c r="L26" i="2" s="1"/>
  <c r="K20" i="2"/>
  <c r="K26" i="2" s="1"/>
  <c r="K27" i="2" s="1"/>
  <c r="K50" i="2" s="1"/>
  <c r="J20" i="2"/>
  <c r="I20" i="2"/>
  <c r="H20" i="2"/>
  <c r="G20" i="2"/>
  <c r="F20" i="2"/>
  <c r="E20" i="2"/>
  <c r="E26" i="2" s="1"/>
  <c r="D20" i="2"/>
  <c r="D26" i="2" s="1"/>
  <c r="C20" i="2"/>
  <c r="B20" i="2"/>
  <c r="AM19" i="2"/>
  <c r="AL19" i="2"/>
  <c r="AK19" i="2"/>
  <c r="AJ19" i="2"/>
  <c r="AJ25" i="2" s="1"/>
  <c r="AJ47" i="2" s="1"/>
  <c r="AI19" i="2"/>
  <c r="AI25" i="2" s="1"/>
  <c r="AI47" i="2" s="1"/>
  <c r="AH19" i="2"/>
  <c r="AH25" i="2" s="1"/>
  <c r="AH47" i="2" s="1"/>
  <c r="AG19" i="2"/>
  <c r="AG25" i="2" s="1"/>
  <c r="AG47" i="2" s="1"/>
  <c r="AF19" i="2"/>
  <c r="AF25" i="2" s="1"/>
  <c r="AF47" i="2" s="1"/>
  <c r="AE19" i="2"/>
  <c r="AD19" i="2"/>
  <c r="AD25" i="2" s="1"/>
  <c r="AD47" i="2" s="1"/>
  <c r="AC19" i="2"/>
  <c r="AC25" i="2" s="1"/>
  <c r="AC47" i="2" s="1"/>
  <c r="AB19" i="2"/>
  <c r="AB25" i="2" s="1"/>
  <c r="AB47" i="2" s="1"/>
  <c r="AA19" i="2"/>
  <c r="Z19" i="2"/>
  <c r="Y19" i="2"/>
  <c r="X19" i="2"/>
  <c r="W19" i="2"/>
  <c r="W25" i="2" s="1"/>
  <c r="W47" i="2" s="1"/>
  <c r="V19" i="2"/>
  <c r="V25" i="2" s="1"/>
  <c r="V47" i="2" s="1"/>
  <c r="U19" i="2"/>
  <c r="U25" i="2" s="1"/>
  <c r="U47" i="2" s="1"/>
  <c r="T19" i="2"/>
  <c r="T25" i="2" s="1"/>
  <c r="T47" i="2" s="1"/>
  <c r="S19" i="2"/>
  <c r="S25" i="2" s="1"/>
  <c r="S47" i="2" s="1"/>
  <c r="R19" i="2"/>
  <c r="R25" i="2" s="1"/>
  <c r="R47" i="2" s="1"/>
  <c r="Q19" i="2"/>
  <c r="P19" i="2"/>
  <c r="P25" i="2" s="1"/>
  <c r="P47" i="2" s="1"/>
  <c r="O19" i="2"/>
  <c r="O25" i="2" s="1"/>
  <c r="O47" i="2" s="1"/>
  <c r="N19" i="2"/>
  <c r="N25" i="2" s="1"/>
  <c r="N47" i="2" s="1"/>
  <c r="M19" i="2"/>
  <c r="M25" i="2" s="1"/>
  <c r="M47" i="2" s="1"/>
  <c r="L19" i="2"/>
  <c r="L25" i="2" s="1"/>
  <c r="L47" i="2" s="1"/>
  <c r="K19" i="2"/>
  <c r="K25" i="2" s="1"/>
  <c r="K47" i="2" s="1"/>
  <c r="J19" i="2"/>
  <c r="J25" i="2" s="1"/>
  <c r="J47" i="2" s="1"/>
  <c r="I19" i="2"/>
  <c r="I25" i="2" s="1"/>
  <c r="I47" i="2" s="1"/>
  <c r="H19" i="2"/>
  <c r="G19" i="2"/>
  <c r="F19" i="2"/>
  <c r="E19" i="2"/>
  <c r="E25" i="2" s="1"/>
  <c r="E47" i="2" s="1"/>
  <c r="D19" i="2"/>
  <c r="D25" i="2" s="1"/>
  <c r="D47" i="2" s="1"/>
  <c r="C19" i="2"/>
  <c r="C25" i="2" s="1"/>
  <c r="C47" i="2" s="1"/>
  <c r="B19" i="2"/>
  <c r="AK18" i="2"/>
  <c r="AK31" i="2" s="1"/>
  <c r="AK33" i="2" s="1"/>
  <c r="AK53" i="2" s="1"/>
  <c r="AH18" i="2"/>
  <c r="AG18" i="2"/>
  <c r="AF18" i="2"/>
  <c r="AF31" i="2" s="1"/>
  <c r="AF33" i="2" s="1"/>
  <c r="AF53" i="2" s="1"/>
  <c r="AE18" i="2"/>
  <c r="AE31" i="2" s="1"/>
  <c r="AE33" i="2" s="1"/>
  <c r="AE53" i="2" s="1"/>
  <c r="AD18" i="2"/>
  <c r="AA18" i="2"/>
  <c r="X18" i="2"/>
  <c r="W18" i="2"/>
  <c r="W31" i="2" s="1"/>
  <c r="W33" i="2" s="1"/>
  <c r="W53" i="2" s="1"/>
  <c r="U18" i="2"/>
  <c r="U31" i="2" s="1"/>
  <c r="U33" i="2" s="1"/>
  <c r="U53" i="2" s="1"/>
  <c r="T18" i="2"/>
  <c r="T23" i="2" s="1"/>
  <c r="R18" i="2"/>
  <c r="Q18" i="2"/>
  <c r="N18" i="2"/>
  <c r="M18" i="2"/>
  <c r="M31" i="2" s="1"/>
  <c r="M33" i="2" s="1"/>
  <c r="M53" i="2" s="1"/>
  <c r="J18" i="2"/>
  <c r="H18" i="2"/>
  <c r="H23" i="2" s="1"/>
  <c r="G18" i="2"/>
  <c r="D18" i="2"/>
  <c r="C18" i="2"/>
  <c r="C23" i="2" s="1"/>
  <c r="C28" i="2" s="1"/>
  <c r="C44" i="2" s="1"/>
  <c r="C45" i="2" s="1"/>
  <c r="C48" i="2" s="1"/>
  <c r="C51" i="2" s="1"/>
  <c r="B18" i="2"/>
  <c r="AM17" i="2"/>
  <c r="AM18" i="2" s="1"/>
  <c r="AL17" i="2"/>
  <c r="AL18" i="2" s="1"/>
  <c r="AK17" i="2"/>
  <c r="AJ17" i="2"/>
  <c r="AJ18" i="2" s="1"/>
  <c r="AI17" i="2"/>
  <c r="AI18" i="2" s="1"/>
  <c r="AH17" i="2"/>
  <c r="AG17" i="2"/>
  <c r="AF17" i="2"/>
  <c r="AE17" i="2"/>
  <c r="AD17" i="2"/>
  <c r="AC17" i="2"/>
  <c r="AC18" i="2" s="1"/>
  <c r="AB17" i="2"/>
  <c r="AB18" i="2" s="1"/>
  <c r="AA17" i="2"/>
  <c r="Z17" i="2"/>
  <c r="Z18" i="2" s="1"/>
  <c r="Y17" i="2"/>
  <c r="Y18" i="2" s="1"/>
  <c r="X17" i="2"/>
  <c r="W17" i="2"/>
  <c r="V17" i="2"/>
  <c r="V18" i="2" s="1"/>
  <c r="U17" i="2"/>
  <c r="T17" i="2"/>
  <c r="S17" i="2"/>
  <c r="S18" i="2" s="1"/>
  <c r="S23" i="2" s="1"/>
  <c r="R17" i="2"/>
  <c r="Q17" i="2"/>
  <c r="P17" i="2"/>
  <c r="P18" i="2" s="1"/>
  <c r="O17" i="2"/>
  <c r="O18" i="2" s="1"/>
  <c r="N17" i="2"/>
  <c r="M17" i="2"/>
  <c r="L17" i="2"/>
  <c r="L18" i="2" s="1"/>
  <c r="K17" i="2"/>
  <c r="K18" i="2" s="1"/>
  <c r="J17" i="2"/>
  <c r="I17" i="2"/>
  <c r="I18" i="2" s="1"/>
  <c r="I31" i="2" s="1"/>
  <c r="I33" i="2" s="1"/>
  <c r="I53" i="2" s="1"/>
  <c r="H17" i="2"/>
  <c r="G17" i="2"/>
  <c r="F17" i="2"/>
  <c r="F18" i="2" s="1"/>
  <c r="E17" i="2"/>
  <c r="E18" i="2" s="1"/>
  <c r="D17" i="2"/>
  <c r="C17" i="2"/>
  <c r="B17" i="2"/>
  <c r="L31" i="2" l="1"/>
  <c r="L33" i="2" s="1"/>
  <c r="L53" i="2" s="1"/>
  <c r="L23" i="2"/>
  <c r="L28" i="2" s="1"/>
  <c r="L44" i="2" s="1"/>
  <c r="L45" i="2" s="1"/>
  <c r="L48" i="2" s="1"/>
  <c r="V31" i="2"/>
  <c r="V33" i="2" s="1"/>
  <c r="V53" i="2" s="1"/>
  <c r="V23" i="2"/>
  <c r="V28" i="2" s="1"/>
  <c r="V44" i="2" s="1"/>
  <c r="V45" i="2" s="1"/>
  <c r="V48" i="2" s="1"/>
  <c r="V51" i="2" s="1"/>
  <c r="V54" i="2" s="1"/>
  <c r="E31" i="2"/>
  <c r="E33" i="2" s="1"/>
  <c r="E53" i="2" s="1"/>
  <c r="E23" i="2"/>
  <c r="E28" i="2" s="1"/>
  <c r="E44" i="2" s="1"/>
  <c r="E45" i="2" s="1"/>
  <c r="E48" i="2" s="1"/>
  <c r="E51" i="2" s="1"/>
  <c r="E54" i="2" s="1"/>
  <c r="Y31" i="2"/>
  <c r="Y33" i="2" s="1"/>
  <c r="Y53" i="2" s="1"/>
  <c r="Y23" i="2"/>
  <c r="Y28" i="2" s="1"/>
  <c r="Y44" i="2" s="1"/>
  <c r="Y45" i="2" s="1"/>
  <c r="Y48" i="2" s="1"/>
  <c r="Y51" i="2" s="1"/>
  <c r="Y54" i="2" s="1"/>
  <c r="AI31" i="2"/>
  <c r="AI33" i="2" s="1"/>
  <c r="AI53" i="2" s="1"/>
  <c r="AI23" i="2"/>
  <c r="AI28" i="2" s="1"/>
  <c r="AI44" i="2" s="1"/>
  <c r="AI24" i="2"/>
  <c r="Z23" i="2"/>
  <c r="Z28" i="2" s="1"/>
  <c r="Z44" i="2" s="1"/>
  <c r="Z24" i="2"/>
  <c r="Z29" i="2" s="1"/>
  <c r="Z31" i="2"/>
  <c r="Z33" i="2" s="1"/>
  <c r="Z53" i="2" s="1"/>
  <c r="T28" i="2"/>
  <c r="T44" i="2" s="1"/>
  <c r="T45" i="2" s="1"/>
  <c r="T48" i="2" s="1"/>
  <c r="O31" i="2"/>
  <c r="O33" i="2" s="1"/>
  <c r="O53" i="2" s="1"/>
  <c r="O23" i="2"/>
  <c r="O28" i="2" s="1"/>
  <c r="O44" i="2" s="1"/>
  <c r="F23" i="2"/>
  <c r="F31" i="2"/>
  <c r="F33" i="2" s="1"/>
  <c r="F53" i="2" s="1"/>
  <c r="F24" i="2"/>
  <c r="P23" i="2"/>
  <c r="P28" i="2" s="1"/>
  <c r="P44" i="2" s="1"/>
  <c r="P45" i="2" s="1"/>
  <c r="P48" i="2" s="1"/>
  <c r="P31" i="2"/>
  <c r="P33" i="2" s="1"/>
  <c r="P53" i="2" s="1"/>
  <c r="P24" i="2"/>
  <c r="AJ31" i="2"/>
  <c r="AJ33" i="2" s="1"/>
  <c r="AJ53" i="2" s="1"/>
  <c r="AJ23" i="2"/>
  <c r="AJ24" i="2" s="1"/>
  <c r="AJ29" i="2" s="1"/>
  <c r="AB23" i="2"/>
  <c r="AB31" i="2"/>
  <c r="AB33" i="2" s="1"/>
  <c r="AB53" i="2" s="1"/>
  <c r="AL31" i="2"/>
  <c r="AL33" i="2" s="1"/>
  <c r="AL53" i="2" s="1"/>
  <c r="AL23" i="2"/>
  <c r="AL28" i="2" s="1"/>
  <c r="AL44" i="2" s="1"/>
  <c r="AL45" i="2" s="1"/>
  <c r="AL48" i="2" s="1"/>
  <c r="AL51" i="2" s="1"/>
  <c r="AL54" i="2" s="1"/>
  <c r="AG24" i="2"/>
  <c r="AG29" i="2" s="1"/>
  <c r="W54" i="2"/>
  <c r="K23" i="2"/>
  <c r="K28" i="2" s="1"/>
  <c r="K44" i="2" s="1"/>
  <c r="K45" i="2" s="1"/>
  <c r="K48" i="2" s="1"/>
  <c r="K51" i="2" s="1"/>
  <c r="K24" i="2"/>
  <c r="K29" i="2" s="1"/>
  <c r="K31" i="2"/>
  <c r="K33" i="2" s="1"/>
  <c r="K53" i="2" s="1"/>
  <c r="N24" i="2"/>
  <c r="N29" i="2" s="1"/>
  <c r="S28" i="2"/>
  <c r="S44" i="2" s="1"/>
  <c r="S45" i="2" s="1"/>
  <c r="S48" i="2" s="1"/>
  <c r="S51" i="2" s="1"/>
  <c r="S54" i="2" s="1"/>
  <c r="G27" i="2"/>
  <c r="G50" i="2" s="1"/>
  <c r="AF23" i="2"/>
  <c r="AF28" i="2" s="1"/>
  <c r="AF44" i="2" s="1"/>
  <c r="AF45" i="2" s="1"/>
  <c r="AF48" i="2" s="1"/>
  <c r="AF51" i="2" s="1"/>
  <c r="AF54" i="2" s="1"/>
  <c r="P42" i="2"/>
  <c r="E31" i="3"/>
  <c r="E33" i="3" s="1"/>
  <c r="E53" i="3" s="1"/>
  <c r="E23" i="3"/>
  <c r="E28" i="3" s="1"/>
  <c r="E44" i="3" s="1"/>
  <c r="E45" i="3" s="1"/>
  <c r="E48" i="3" s="1"/>
  <c r="AI23" i="3"/>
  <c r="AI28" i="3" s="1"/>
  <c r="AI44" i="3" s="1"/>
  <c r="AI45" i="3" s="1"/>
  <c r="AI48" i="3" s="1"/>
  <c r="AI51" i="3" s="1"/>
  <c r="AI31" i="3"/>
  <c r="AI33" i="3" s="1"/>
  <c r="AI53" i="3" s="1"/>
  <c r="AI24" i="3"/>
  <c r="AI29" i="3" s="1"/>
  <c r="H27" i="2"/>
  <c r="H50" i="2" s="1"/>
  <c r="R27" i="2"/>
  <c r="R50" i="2" s="1"/>
  <c r="AG23" i="2"/>
  <c r="AG28" i="2" s="1"/>
  <c r="AG44" i="2" s="1"/>
  <c r="AG45" i="2" s="1"/>
  <c r="AG48" i="2" s="1"/>
  <c r="AG51" i="2" s="1"/>
  <c r="L27" i="2"/>
  <c r="L50" i="2" s="1"/>
  <c r="M28" i="2"/>
  <c r="M44" i="2" s="1"/>
  <c r="M45" i="2" s="1"/>
  <c r="M48" i="2" s="1"/>
  <c r="M51" i="2" s="1"/>
  <c r="M54" i="2" s="1"/>
  <c r="AG31" i="2"/>
  <c r="AG33" i="2" s="1"/>
  <c r="AG53" i="2" s="1"/>
  <c r="G45" i="2"/>
  <c r="G48" i="2" s="1"/>
  <c r="AA45" i="2"/>
  <c r="AA48" i="2" s="1"/>
  <c r="AA51" i="2" s="1"/>
  <c r="AA54" i="2" s="1"/>
  <c r="AA42" i="2"/>
  <c r="F23" i="3"/>
  <c r="F28" i="3" s="1"/>
  <c r="F44" i="3" s="1"/>
  <c r="F45" i="3" s="1"/>
  <c r="F48" i="3" s="1"/>
  <c r="F51" i="3" s="1"/>
  <c r="F54" i="3" s="1"/>
  <c r="F31" i="3"/>
  <c r="F33" i="3" s="1"/>
  <c r="F53" i="3" s="1"/>
  <c r="P23" i="3"/>
  <c r="P28" i="3" s="1"/>
  <c r="P44" i="3" s="1"/>
  <c r="P45" i="3" s="1"/>
  <c r="P48" i="3" s="1"/>
  <c r="P31" i="3"/>
  <c r="P33" i="3" s="1"/>
  <c r="P53" i="3" s="1"/>
  <c r="P24" i="3"/>
  <c r="Z23" i="3"/>
  <c r="Z31" i="3"/>
  <c r="Z33" i="3" s="1"/>
  <c r="Z53" i="3" s="1"/>
  <c r="AJ23" i="3"/>
  <c r="AJ28" i="3" s="1"/>
  <c r="AJ44" i="3" s="1"/>
  <c r="AJ45" i="3" s="1"/>
  <c r="AJ48" i="3" s="1"/>
  <c r="AJ51" i="3" s="1"/>
  <c r="AJ24" i="3"/>
  <c r="AJ29" i="3" s="1"/>
  <c r="AJ31" i="3"/>
  <c r="AJ33" i="3" s="1"/>
  <c r="AJ53" i="3" s="1"/>
  <c r="X42" i="2"/>
  <c r="K31" i="3"/>
  <c r="K33" i="3" s="1"/>
  <c r="K53" i="3" s="1"/>
  <c r="K23" i="3"/>
  <c r="K24" i="3"/>
  <c r="S31" i="3"/>
  <c r="S33" i="3" s="1"/>
  <c r="S53" i="3" s="1"/>
  <c r="S25" i="3"/>
  <c r="S47" i="3" s="1"/>
  <c r="K26" i="3"/>
  <c r="K27" i="3" s="1"/>
  <c r="K50" i="3" s="1"/>
  <c r="P26" i="2"/>
  <c r="P27" i="2" s="1"/>
  <c r="P50" i="2" s="1"/>
  <c r="Y42" i="2"/>
  <c r="M23" i="3"/>
  <c r="M28" i="3" s="1"/>
  <c r="M44" i="3" s="1"/>
  <c r="M24" i="3"/>
  <c r="M29" i="3" s="1"/>
  <c r="M31" i="3"/>
  <c r="M33" i="3" s="1"/>
  <c r="M53" i="3" s="1"/>
  <c r="S31" i="2"/>
  <c r="S33" i="2" s="1"/>
  <c r="S53" i="2" s="1"/>
  <c r="S24" i="2"/>
  <c r="AC31" i="2"/>
  <c r="AC33" i="2" s="1"/>
  <c r="AC53" i="2" s="1"/>
  <c r="AH31" i="2"/>
  <c r="AH33" i="2" s="1"/>
  <c r="AH53" i="2" s="1"/>
  <c r="AH23" i="2"/>
  <c r="I27" i="2"/>
  <c r="I50" i="2" s="1"/>
  <c r="S27" i="2"/>
  <c r="S50" i="2" s="1"/>
  <c r="AC27" i="2"/>
  <c r="AC50" i="2" s="1"/>
  <c r="AM27" i="2"/>
  <c r="AM50" i="2" s="1"/>
  <c r="G26" i="2"/>
  <c r="T26" i="2"/>
  <c r="T27" i="2" s="1"/>
  <c r="T50" i="2" s="1"/>
  <c r="AK42" i="2"/>
  <c r="N45" i="3"/>
  <c r="N48" i="3" s="1"/>
  <c r="N51" i="3" s="1"/>
  <c r="N54" i="3" s="1"/>
  <c r="R23" i="4"/>
  <c r="R24" i="4"/>
  <c r="R31" i="4"/>
  <c r="R33" i="4" s="1"/>
  <c r="R53" i="4" s="1"/>
  <c r="G23" i="2"/>
  <c r="G28" i="2" s="1"/>
  <c r="G44" i="2" s="1"/>
  <c r="G31" i="2"/>
  <c r="G33" i="2" s="1"/>
  <c r="G53" i="2" s="1"/>
  <c r="J31" i="2"/>
  <c r="J33" i="2" s="1"/>
  <c r="J53" i="2" s="1"/>
  <c r="AA27" i="2"/>
  <c r="AA50" i="2" s="1"/>
  <c r="Y27" i="2"/>
  <c r="Y50" i="2" s="1"/>
  <c r="AJ42" i="2"/>
  <c r="O23" i="3"/>
  <c r="O28" i="3" s="1"/>
  <c r="O44" i="3" s="1"/>
  <c r="O45" i="3" s="1"/>
  <c r="O48" i="3" s="1"/>
  <c r="O51" i="3" s="1"/>
  <c r="O54" i="3" s="1"/>
  <c r="O31" i="3"/>
  <c r="O33" i="3" s="1"/>
  <c r="O53" i="3" s="1"/>
  <c r="X31" i="2"/>
  <c r="X33" i="2" s="1"/>
  <c r="X53" i="2" s="1"/>
  <c r="X23" i="2"/>
  <c r="X28" i="2" s="1"/>
  <c r="X44" i="2" s="1"/>
  <c r="X45" i="2" s="1"/>
  <c r="X48" i="2" s="1"/>
  <c r="X51" i="2" s="1"/>
  <c r="X54" i="2" s="1"/>
  <c r="U23" i="2"/>
  <c r="AM23" i="2"/>
  <c r="AM28" i="2" s="1"/>
  <c r="AM44" i="2" s="1"/>
  <c r="H26" i="2"/>
  <c r="H28" i="2" s="1"/>
  <c r="H44" i="2" s="1"/>
  <c r="H45" i="2" s="1"/>
  <c r="H48" i="2" s="1"/>
  <c r="H51" i="2" s="1"/>
  <c r="H54" i="2" s="1"/>
  <c r="U26" i="2"/>
  <c r="U27" i="2" s="1"/>
  <c r="U50" i="2" s="1"/>
  <c r="H31" i="3"/>
  <c r="H33" i="3" s="1"/>
  <c r="H53" i="3" s="1"/>
  <c r="H23" i="3"/>
  <c r="H28" i="3" s="1"/>
  <c r="H44" i="3" s="1"/>
  <c r="H45" i="3" s="1"/>
  <c r="H48" i="3" s="1"/>
  <c r="R31" i="2"/>
  <c r="R33" i="2" s="1"/>
  <c r="R53" i="2" s="1"/>
  <c r="R24" i="2"/>
  <c r="AK27" i="2"/>
  <c r="AK50" i="2" s="1"/>
  <c r="Z45" i="2"/>
  <c r="Z48" i="2" s="1"/>
  <c r="Z51" i="2" s="1"/>
  <c r="Z42" i="2"/>
  <c r="Y24" i="3"/>
  <c r="Y29" i="3" s="1"/>
  <c r="Y23" i="3"/>
  <c r="Y28" i="3" s="1"/>
  <c r="Y44" i="3" s="1"/>
  <c r="Y45" i="3" s="1"/>
  <c r="Y48" i="3" s="1"/>
  <c r="Y51" i="3" s="1"/>
  <c r="Y31" i="3"/>
  <c r="Y33" i="3" s="1"/>
  <c r="Y53" i="3" s="1"/>
  <c r="C31" i="2"/>
  <c r="C33" i="2" s="1"/>
  <c r="C53" i="2" s="1"/>
  <c r="C54" i="2" s="1"/>
  <c r="C57" i="2" s="1"/>
  <c r="N31" i="2"/>
  <c r="N33" i="2" s="1"/>
  <c r="N53" i="2" s="1"/>
  <c r="N23" i="2"/>
  <c r="N28" i="2" s="1"/>
  <c r="N44" i="2" s="1"/>
  <c r="AE27" i="2"/>
  <c r="AE50" i="2" s="1"/>
  <c r="C24" i="2"/>
  <c r="C29" i="2" s="1"/>
  <c r="U24" i="2"/>
  <c r="AL26" i="2"/>
  <c r="AL27" i="2" s="1"/>
  <c r="AL50" i="2" s="1"/>
  <c r="O27" i="2"/>
  <c r="O50" i="2" s="1"/>
  <c r="AM31" i="2"/>
  <c r="AM33" i="2" s="1"/>
  <c r="AM53" i="2" s="1"/>
  <c r="D42" i="2"/>
  <c r="AH42" i="2"/>
  <c r="I31" i="3"/>
  <c r="I33" i="3" s="1"/>
  <c r="I53" i="3" s="1"/>
  <c r="I25" i="3"/>
  <c r="AM25" i="3"/>
  <c r="AM47" i="3" s="1"/>
  <c r="AM31" i="3"/>
  <c r="AM33" i="3" s="1"/>
  <c r="AM53" i="3" s="1"/>
  <c r="U26" i="3"/>
  <c r="U27" i="3" s="1"/>
  <c r="U50" i="3" s="1"/>
  <c r="H31" i="2"/>
  <c r="H33" i="2" s="1"/>
  <c r="H53" i="2" s="1"/>
  <c r="H24" i="2"/>
  <c r="Z26" i="2"/>
  <c r="Z27" i="2"/>
  <c r="Z50" i="2" s="1"/>
  <c r="AE23" i="2"/>
  <c r="AE28" i="2" s="1"/>
  <c r="AE44" i="2" s="1"/>
  <c r="AE45" i="2" s="1"/>
  <c r="AE48" i="2" s="1"/>
  <c r="AE51" i="2" s="1"/>
  <c r="AE54" i="2" s="1"/>
  <c r="O45" i="2"/>
  <c r="O48" i="2" s="1"/>
  <c r="O42" i="2"/>
  <c r="AI42" i="2"/>
  <c r="AI45" i="2"/>
  <c r="AI48" i="2" s="1"/>
  <c r="D31" i="3"/>
  <c r="D33" i="3" s="1"/>
  <c r="D53" i="3" s="1"/>
  <c r="D24" i="3"/>
  <c r="D29" i="3" s="1"/>
  <c r="N31" i="3"/>
  <c r="N33" i="3" s="1"/>
  <c r="N53" i="3" s="1"/>
  <c r="N23" i="3"/>
  <c r="N28" i="3" s="1"/>
  <c r="N44" i="3" s="1"/>
  <c r="AG31" i="3"/>
  <c r="AG33" i="3" s="1"/>
  <c r="AG53" i="3" s="1"/>
  <c r="AG23" i="3"/>
  <c r="AG28" i="3" s="1"/>
  <c r="AG44" i="3" s="1"/>
  <c r="AG45" i="3" s="1"/>
  <c r="AG48" i="3" s="1"/>
  <c r="AG51" i="3" s="1"/>
  <c r="AG54" i="3" s="1"/>
  <c r="AG24" i="3"/>
  <c r="AG29" i="3" s="1"/>
  <c r="AE45" i="3"/>
  <c r="AE48" i="3" s="1"/>
  <c r="C56" i="2"/>
  <c r="D37" i="2"/>
  <c r="AI27" i="2"/>
  <c r="AI50" i="2" s="1"/>
  <c r="H26" i="3"/>
  <c r="H27" i="3" s="1"/>
  <c r="H50" i="3" s="1"/>
  <c r="R26" i="3"/>
  <c r="R27" i="3" s="1"/>
  <c r="R50" i="3" s="1"/>
  <c r="AB26" i="3"/>
  <c r="AB28" i="3" s="1"/>
  <c r="AB44" i="3" s="1"/>
  <c r="AB45" i="3" s="1"/>
  <c r="AB48" i="3" s="1"/>
  <c r="AH48" i="3"/>
  <c r="AH51" i="3" s="1"/>
  <c r="AH54" i="3" s="1"/>
  <c r="Q27" i="2"/>
  <c r="Q50" i="2" s="1"/>
  <c r="R23" i="2"/>
  <c r="R28" i="2" s="1"/>
  <c r="R44" i="2" s="1"/>
  <c r="R45" i="2" s="1"/>
  <c r="R48" i="2" s="1"/>
  <c r="D31" i="2"/>
  <c r="D33" i="2" s="1"/>
  <c r="D53" i="2" s="1"/>
  <c r="D23" i="2"/>
  <c r="D28" i="2" s="1"/>
  <c r="D44" i="2" s="1"/>
  <c r="D45" i="2" s="1"/>
  <c r="D48" i="2" s="1"/>
  <c r="D51" i="2" s="1"/>
  <c r="D54" i="2" s="1"/>
  <c r="AK23" i="2"/>
  <c r="AK28" i="2" s="1"/>
  <c r="AK44" i="2" s="1"/>
  <c r="AK45" i="2" s="1"/>
  <c r="AK48" i="2" s="1"/>
  <c r="AK51" i="2" s="1"/>
  <c r="AK54" i="2" s="1"/>
  <c r="AK24" i="2"/>
  <c r="AK29" i="2" s="1"/>
  <c r="I23" i="2"/>
  <c r="I28" i="2" s="1"/>
  <c r="I44" i="2" s="1"/>
  <c r="I45" i="2" s="1"/>
  <c r="I48" i="2" s="1"/>
  <c r="I51" i="2" s="1"/>
  <c r="I54" i="2" s="1"/>
  <c r="D24" i="2"/>
  <c r="D29" i="2" s="1"/>
  <c r="AA23" i="2"/>
  <c r="AA28" i="2" s="1"/>
  <c r="AA44" i="2" s="1"/>
  <c r="AA24" i="2"/>
  <c r="AA29" i="2" s="1"/>
  <c r="J23" i="2"/>
  <c r="J28" i="2" s="1"/>
  <c r="J44" i="2" s="1"/>
  <c r="J45" i="2" s="1"/>
  <c r="J48" i="2" s="1"/>
  <c r="J51" i="2" s="1"/>
  <c r="J54" i="2" s="1"/>
  <c r="W24" i="2"/>
  <c r="W29" i="2" s="1"/>
  <c r="AA26" i="2"/>
  <c r="AL26" i="3"/>
  <c r="AL27" i="3" s="1"/>
  <c r="AL31" i="3"/>
  <c r="AL33" i="3" s="1"/>
  <c r="AL53" i="3" s="1"/>
  <c r="AD24" i="2"/>
  <c r="AD29" i="2" s="1"/>
  <c r="AD31" i="2"/>
  <c r="AD33" i="2" s="1"/>
  <c r="AD53" i="2" s="1"/>
  <c r="AD23" i="2"/>
  <c r="AD28" i="2" s="1"/>
  <c r="AD44" i="2" s="1"/>
  <c r="AD45" i="2" s="1"/>
  <c r="AD48" i="2" s="1"/>
  <c r="AD51" i="2" s="1"/>
  <c r="E27" i="2"/>
  <c r="E50" i="2" s="1"/>
  <c r="N45" i="2"/>
  <c r="N48" i="2" s="1"/>
  <c r="N51" i="2" s="1"/>
  <c r="N54" i="2" s="1"/>
  <c r="C23" i="3"/>
  <c r="C28" i="3" s="1"/>
  <c r="C44" i="3" s="1"/>
  <c r="AF31" i="3"/>
  <c r="AF33" i="3" s="1"/>
  <c r="AF53" i="3" s="1"/>
  <c r="AF23" i="3"/>
  <c r="AC31" i="3"/>
  <c r="AC33" i="3" s="1"/>
  <c r="AC53" i="3" s="1"/>
  <c r="AC25" i="3"/>
  <c r="AC47" i="3" s="1"/>
  <c r="AE26" i="3"/>
  <c r="AE27" i="3" s="1"/>
  <c r="AE50" i="3" s="1"/>
  <c r="T31" i="2"/>
  <c r="T33" i="2" s="1"/>
  <c r="T53" i="2" s="1"/>
  <c r="T24" i="2"/>
  <c r="F26" i="2"/>
  <c r="F27" i="2"/>
  <c r="F50" i="2" s="1"/>
  <c r="AJ26" i="2"/>
  <c r="AJ27" i="2"/>
  <c r="AJ50" i="2" s="1"/>
  <c r="L54" i="3"/>
  <c r="O24" i="4"/>
  <c r="O29" i="4" s="1"/>
  <c r="F42" i="2"/>
  <c r="Q23" i="2"/>
  <c r="Q28" i="2" s="1"/>
  <c r="Q44" i="2" s="1"/>
  <c r="Q45" i="2" s="1"/>
  <c r="Q48" i="2" s="1"/>
  <c r="Q31" i="2"/>
  <c r="Q33" i="2" s="1"/>
  <c r="Q53" i="2" s="1"/>
  <c r="Q24" i="2"/>
  <c r="AC23" i="2"/>
  <c r="AC28" i="2" s="1"/>
  <c r="AC44" i="2" s="1"/>
  <c r="AC45" i="2" s="1"/>
  <c r="AC48" i="2" s="1"/>
  <c r="AC51" i="2" s="1"/>
  <c r="AC54" i="2" s="1"/>
  <c r="X24" i="2"/>
  <c r="X29" i="2" s="1"/>
  <c r="AB26" i="2"/>
  <c r="AB27" i="2" s="1"/>
  <c r="AB50" i="2" s="1"/>
  <c r="D27" i="2"/>
  <c r="D50" i="2" s="1"/>
  <c r="G42" i="2"/>
  <c r="AE31" i="3"/>
  <c r="AE33" i="3" s="1"/>
  <c r="AE53" i="3" s="1"/>
  <c r="D23" i="3"/>
  <c r="D28" i="3" s="1"/>
  <c r="D44" i="3" s="1"/>
  <c r="Q31" i="4"/>
  <c r="Q33" i="4" s="1"/>
  <c r="Q53" i="4" s="1"/>
  <c r="Q23" i="4"/>
  <c r="Q28" i="4" s="1"/>
  <c r="Q44" i="4" s="1"/>
  <c r="Q45" i="4" s="1"/>
  <c r="Q48" i="4" s="1"/>
  <c r="Q51" i="4" s="1"/>
  <c r="Q54" i="4" s="1"/>
  <c r="AK29" i="4"/>
  <c r="AI31" i="4"/>
  <c r="AI33" i="4" s="1"/>
  <c r="AI53" i="4" s="1"/>
  <c r="T31" i="3"/>
  <c r="T33" i="3" s="1"/>
  <c r="T53" i="3" s="1"/>
  <c r="T23" i="3"/>
  <c r="S31" i="4"/>
  <c r="S33" i="4" s="1"/>
  <c r="S53" i="4" s="1"/>
  <c r="S23" i="4"/>
  <c r="S28" i="4" s="1"/>
  <c r="S44" i="4" s="1"/>
  <c r="S45" i="4" s="1"/>
  <c r="S48" i="4" s="1"/>
  <c r="AI23" i="4"/>
  <c r="AI28" i="4" s="1"/>
  <c r="AI44" i="4" s="1"/>
  <c r="AI45" i="4" s="1"/>
  <c r="AI48" i="4" s="1"/>
  <c r="AI51" i="4" s="1"/>
  <c r="AI54" i="4" s="1"/>
  <c r="R31" i="3"/>
  <c r="R33" i="3" s="1"/>
  <c r="R53" i="3" s="1"/>
  <c r="R23" i="3"/>
  <c r="U31" i="3"/>
  <c r="U33" i="3" s="1"/>
  <c r="U53" i="3" s="1"/>
  <c r="U23" i="3"/>
  <c r="U28" i="3" s="1"/>
  <c r="U44" i="3" s="1"/>
  <c r="U45" i="3" s="1"/>
  <c r="U48" i="3" s="1"/>
  <c r="AK28" i="4"/>
  <c r="AK44" i="4" s="1"/>
  <c r="AK45" i="4" s="1"/>
  <c r="AK48" i="4" s="1"/>
  <c r="AK51" i="4" s="1"/>
  <c r="AK54" i="4" s="1"/>
  <c r="Q28" i="3"/>
  <c r="Q44" i="3" s="1"/>
  <c r="Q45" i="3" s="1"/>
  <c r="Q48" i="3" s="1"/>
  <c r="Q51" i="3" s="1"/>
  <c r="Q54" i="3" s="1"/>
  <c r="Q24" i="3"/>
  <c r="Q29" i="3" s="1"/>
  <c r="G42" i="3"/>
  <c r="Q42" i="3"/>
  <c r="AA45" i="3"/>
  <c r="AA48" i="3" s="1"/>
  <c r="AA51" i="3" s="1"/>
  <c r="AA54" i="3" s="1"/>
  <c r="AA42" i="3"/>
  <c r="AK42" i="3"/>
  <c r="AL51" i="4"/>
  <c r="AL54" i="4" s="1"/>
  <c r="X23" i="3"/>
  <c r="X28" i="3" s="1"/>
  <c r="X44" i="3" s="1"/>
  <c r="X45" i="3" s="1"/>
  <c r="X48" i="3" s="1"/>
  <c r="X51" i="3" s="1"/>
  <c r="X54" i="3" s="1"/>
  <c r="G31" i="3"/>
  <c r="G33" i="3" s="1"/>
  <c r="G53" i="3" s="1"/>
  <c r="G23" i="3"/>
  <c r="P27" i="3"/>
  <c r="P50" i="3" s="1"/>
  <c r="Z27" i="3"/>
  <c r="Z50" i="3" s="1"/>
  <c r="AB31" i="3"/>
  <c r="AB33" i="3" s="1"/>
  <c r="AB53" i="3" s="1"/>
  <c r="S42" i="3"/>
  <c r="AC42" i="3"/>
  <c r="AM42" i="3"/>
  <c r="AG23" i="4"/>
  <c r="AG28" i="4" s="1"/>
  <c r="AG44" i="4" s="1"/>
  <c r="AG31" i="4"/>
  <c r="AG33" i="4" s="1"/>
  <c r="AG53" i="4" s="1"/>
  <c r="L24" i="3"/>
  <c r="L29" i="3" s="1"/>
  <c r="AA29" i="3"/>
  <c r="J31" i="3"/>
  <c r="J33" i="3" s="1"/>
  <c r="J53" i="3" s="1"/>
  <c r="J27" i="3"/>
  <c r="J50" i="3" s="1"/>
  <c r="R42" i="3"/>
  <c r="D24" i="4"/>
  <c r="D29" i="4" s="1"/>
  <c r="D31" i="4"/>
  <c r="D33" i="4" s="1"/>
  <c r="D53" i="4" s="1"/>
  <c r="T31" i="4"/>
  <c r="T33" i="4" s="1"/>
  <c r="T53" i="4" s="1"/>
  <c r="T24" i="4"/>
  <c r="T29" i="4" s="1"/>
  <c r="T23" i="4"/>
  <c r="T28" i="4" s="1"/>
  <c r="T44" i="4" s="1"/>
  <c r="T45" i="4" s="1"/>
  <c r="T48" i="4" s="1"/>
  <c r="T51" i="4" s="1"/>
  <c r="L31" i="4"/>
  <c r="L33" i="4" s="1"/>
  <c r="L53" i="4" s="1"/>
  <c r="L23" i="4"/>
  <c r="V24" i="4"/>
  <c r="V29" i="4" s="1"/>
  <c r="V31" i="4"/>
  <c r="V33" i="4" s="1"/>
  <c r="V53" i="4" s="1"/>
  <c r="AF24" i="4"/>
  <c r="AF29" i="4" s="1"/>
  <c r="AF23" i="4"/>
  <c r="AF28" i="4" s="1"/>
  <c r="AF44" i="4" s="1"/>
  <c r="AF45" i="4" s="1"/>
  <c r="AF48" i="4" s="1"/>
  <c r="AF51" i="4" s="1"/>
  <c r="AF31" i="4"/>
  <c r="AF33" i="4" s="1"/>
  <c r="AF53" i="4" s="1"/>
  <c r="E31" i="4"/>
  <c r="E33" i="4" s="1"/>
  <c r="E53" i="4" s="1"/>
  <c r="U28" i="4"/>
  <c r="U44" i="4" s="1"/>
  <c r="U45" i="4" s="1"/>
  <c r="U48" i="4" s="1"/>
  <c r="AD24" i="3"/>
  <c r="C23" i="4"/>
  <c r="C28" i="4" s="1"/>
  <c r="C44" i="4" s="1"/>
  <c r="C45" i="4" s="1"/>
  <c r="C48" i="4" s="1"/>
  <c r="C51" i="4" s="1"/>
  <c r="C54" i="4" s="1"/>
  <c r="C57" i="4" s="1"/>
  <c r="C24" i="4"/>
  <c r="C29" i="4" s="1"/>
  <c r="C31" i="4"/>
  <c r="C33" i="4" s="1"/>
  <c r="C53" i="4" s="1"/>
  <c r="W31" i="4"/>
  <c r="W33" i="4" s="1"/>
  <c r="W53" i="4" s="1"/>
  <c r="F31" i="4"/>
  <c r="F33" i="4" s="1"/>
  <c r="F53" i="4" s="1"/>
  <c r="F23" i="4"/>
  <c r="F28" i="4" s="1"/>
  <c r="F44" i="4" s="1"/>
  <c r="F45" i="4" s="1"/>
  <c r="F48" i="4" s="1"/>
  <c r="F51" i="4" s="1"/>
  <c r="F54" i="4" s="1"/>
  <c r="AB31" i="4"/>
  <c r="AB33" i="4" s="1"/>
  <c r="AB53" i="4" s="1"/>
  <c r="AB24" i="4"/>
  <c r="O25" i="4"/>
  <c r="O47" i="4" s="1"/>
  <c r="O31" i="4"/>
  <c r="O33" i="4" s="1"/>
  <c r="O53" i="4" s="1"/>
  <c r="AA26" i="4"/>
  <c r="AA27" i="4" s="1"/>
  <c r="AA50" i="4" s="1"/>
  <c r="AK27" i="4"/>
  <c r="AK50" i="4" s="1"/>
  <c r="V23" i="4"/>
  <c r="V28" i="4" s="1"/>
  <c r="V44" i="4" s="1"/>
  <c r="V45" i="4" s="1"/>
  <c r="V48" i="4" s="1"/>
  <c r="V51" i="4" s="1"/>
  <c r="AM45" i="2"/>
  <c r="AM48" i="2" s="1"/>
  <c r="AM51" i="2" s="1"/>
  <c r="AM54" i="2" s="1"/>
  <c r="AE23" i="3"/>
  <c r="AE28" i="3" s="1"/>
  <c r="AE44" i="3" s="1"/>
  <c r="AE24" i="3"/>
  <c r="G26" i="3"/>
  <c r="G27" i="3" s="1"/>
  <c r="G50" i="3" s="1"/>
  <c r="AD26" i="3"/>
  <c r="AD28" i="3" s="1"/>
  <c r="AD44" i="3" s="1"/>
  <c r="AD45" i="3" s="1"/>
  <c r="AD48" i="3" s="1"/>
  <c r="E27" i="3"/>
  <c r="E50" i="3" s="1"/>
  <c r="D37" i="3"/>
  <c r="C56" i="3"/>
  <c r="X23" i="4"/>
  <c r="X28" i="4" s="1"/>
  <c r="X44" i="4" s="1"/>
  <c r="X45" i="4" s="1"/>
  <c r="X48" i="4" s="1"/>
  <c r="X51" i="4" s="1"/>
  <c r="X54" i="4" s="1"/>
  <c r="X31" i="4"/>
  <c r="X33" i="4" s="1"/>
  <c r="X53" i="4" s="1"/>
  <c r="AC31" i="4"/>
  <c r="AC33" i="4" s="1"/>
  <c r="AC53" i="4" s="1"/>
  <c r="AC23" i="4"/>
  <c r="W23" i="4"/>
  <c r="W28" i="4" s="1"/>
  <c r="W44" i="4" s="1"/>
  <c r="M24" i="4"/>
  <c r="AA31" i="3"/>
  <c r="AA33" i="3" s="1"/>
  <c r="AA53" i="3" s="1"/>
  <c r="J31" i="4"/>
  <c r="J33" i="4" s="1"/>
  <c r="J53" i="4" s="1"/>
  <c r="J23" i="4"/>
  <c r="J28" i="4" s="1"/>
  <c r="J44" i="4" s="1"/>
  <c r="J45" i="4" s="1"/>
  <c r="J48" i="4" s="1"/>
  <c r="J51" i="4" s="1"/>
  <c r="J54" i="4" s="1"/>
  <c r="I26" i="4"/>
  <c r="I27" i="4" s="1"/>
  <c r="I50" i="4" s="1"/>
  <c r="S26" i="4"/>
  <c r="S27" i="4" s="1"/>
  <c r="S50" i="4" s="1"/>
  <c r="AC26" i="4"/>
  <c r="AC27" i="4" s="1"/>
  <c r="AC50" i="4" s="1"/>
  <c r="AM27" i="4"/>
  <c r="AM50" i="4" s="1"/>
  <c r="Q27" i="4"/>
  <c r="Q50" i="4" s="1"/>
  <c r="V24" i="3"/>
  <c r="AH24" i="3"/>
  <c r="AH29" i="3" s="1"/>
  <c r="T26" i="3"/>
  <c r="T27" i="3" s="1"/>
  <c r="T50" i="3" s="1"/>
  <c r="AF26" i="3"/>
  <c r="AF27" i="3" s="1"/>
  <c r="AF50" i="3" s="1"/>
  <c r="C45" i="3"/>
  <c r="C48" i="3" s="1"/>
  <c r="C51" i="3" s="1"/>
  <c r="C54" i="3" s="1"/>
  <c r="C57" i="3" s="1"/>
  <c r="M45" i="3"/>
  <c r="M48" i="3" s="1"/>
  <c r="M51" i="3" s="1"/>
  <c r="AD42" i="3"/>
  <c r="D45" i="3"/>
  <c r="D48" i="3" s="1"/>
  <c r="D51" i="3" s="1"/>
  <c r="K31" i="4"/>
  <c r="K33" i="4" s="1"/>
  <c r="K53" i="4" s="1"/>
  <c r="K23" i="4"/>
  <c r="K28" i="4" s="1"/>
  <c r="K44" i="4" s="1"/>
  <c r="K45" i="4" s="1"/>
  <c r="K48" i="4" s="1"/>
  <c r="K51" i="4" s="1"/>
  <c r="K54" i="4" s="1"/>
  <c r="AE31" i="4"/>
  <c r="AE33" i="4" s="1"/>
  <c r="AE53" i="4" s="1"/>
  <c r="AE23" i="4"/>
  <c r="D23" i="4"/>
  <c r="D28" i="4" s="1"/>
  <c r="D44" i="4" s="1"/>
  <c r="AB23" i="4"/>
  <c r="AB28" i="4" s="1"/>
  <c r="AB44" i="4" s="1"/>
  <c r="AB45" i="4" s="1"/>
  <c r="AB48" i="4" s="1"/>
  <c r="C42" i="4"/>
  <c r="M42" i="4"/>
  <c r="M45" i="4"/>
  <c r="M48" i="4" s="1"/>
  <c r="W45" i="4"/>
  <c r="W48" i="4" s="1"/>
  <c r="W51" i="4" s="1"/>
  <c r="W54" i="4" s="1"/>
  <c r="W42" i="4"/>
  <c r="AG42" i="4"/>
  <c r="AG45" i="4"/>
  <c r="AG48" i="4" s="1"/>
  <c r="AG51" i="4" s="1"/>
  <c r="J23" i="3"/>
  <c r="J28" i="3" s="1"/>
  <c r="J44" i="3" s="1"/>
  <c r="J45" i="3" s="1"/>
  <c r="J48" i="3" s="1"/>
  <c r="J51" i="3" s="1"/>
  <c r="J54" i="3" s="1"/>
  <c r="V23" i="3"/>
  <c r="V28" i="3" s="1"/>
  <c r="V44" i="3" s="1"/>
  <c r="V45" i="3" s="1"/>
  <c r="V48" i="3" s="1"/>
  <c r="J26" i="3"/>
  <c r="V27" i="3"/>
  <c r="V50" i="3" s="1"/>
  <c r="G31" i="4"/>
  <c r="G33" i="4" s="1"/>
  <c r="G53" i="4" s="1"/>
  <c r="G23" i="4"/>
  <c r="G28" i="4" s="1"/>
  <c r="G44" i="4" s="1"/>
  <c r="G45" i="4" s="1"/>
  <c r="G48" i="4" s="1"/>
  <c r="G51" i="4" s="1"/>
  <c r="G54" i="4" s="1"/>
  <c r="AA31" i="4"/>
  <c r="AA33" i="4" s="1"/>
  <c r="AA53" i="4" s="1"/>
  <c r="AA23" i="4"/>
  <c r="U26" i="4"/>
  <c r="U27" i="4" s="1"/>
  <c r="AE26" i="4"/>
  <c r="AE27" i="4" s="1"/>
  <c r="AE50" i="4" s="1"/>
  <c r="E23" i="4"/>
  <c r="E28" i="4" s="1"/>
  <c r="E44" i="4" s="1"/>
  <c r="E45" i="4" s="1"/>
  <c r="E48" i="4" s="1"/>
  <c r="E51" i="4" s="1"/>
  <c r="E54" i="4" s="1"/>
  <c r="K26" i="4"/>
  <c r="K27" i="4" s="1"/>
  <c r="K50" i="4" s="1"/>
  <c r="D37" i="4"/>
  <c r="C56" i="4"/>
  <c r="C38" i="4"/>
  <c r="W23" i="3"/>
  <c r="W28" i="3" s="1"/>
  <c r="W44" i="3" s="1"/>
  <c r="W45" i="3" s="1"/>
  <c r="W48" i="3" s="1"/>
  <c r="W51" i="3" s="1"/>
  <c r="W54" i="3" s="1"/>
  <c r="AK23" i="3"/>
  <c r="AI27" i="3"/>
  <c r="AI50" i="3" s="1"/>
  <c r="AL24" i="4"/>
  <c r="AL29" i="4" s="1"/>
  <c r="AH31" i="4"/>
  <c r="AH33" i="4" s="1"/>
  <c r="AH53" i="4" s="1"/>
  <c r="H23" i="4"/>
  <c r="AH23" i="4"/>
  <c r="AH28" i="4" s="1"/>
  <c r="AH44" i="4" s="1"/>
  <c r="AH45" i="4" s="1"/>
  <c r="AH48" i="4" s="1"/>
  <c r="AH51" i="4" s="1"/>
  <c r="AH54" i="4" s="1"/>
  <c r="Z29" i="4"/>
  <c r="D42" i="4"/>
  <c r="D45" i="4"/>
  <c r="D48" i="4" s="1"/>
  <c r="D51" i="4" s="1"/>
  <c r="D54" i="4" s="1"/>
  <c r="O42" i="4"/>
  <c r="Y45" i="4"/>
  <c r="Y48" i="4" s="1"/>
  <c r="Y42" i="4"/>
  <c r="N23" i="4"/>
  <c r="N28" i="4" s="1"/>
  <c r="N44" i="4" s="1"/>
  <c r="N45" i="4" s="1"/>
  <c r="N48" i="4" s="1"/>
  <c r="N51" i="4" s="1"/>
  <c r="N54" i="4" s="1"/>
  <c r="H27" i="4"/>
  <c r="H50" i="4" s="1"/>
  <c r="Y31" i="4"/>
  <c r="Y33" i="4" s="1"/>
  <c r="Y53" i="4" s="1"/>
  <c r="P42" i="4"/>
  <c r="Y28" i="4"/>
  <c r="Y44" i="4" s="1"/>
  <c r="AH27" i="4"/>
  <c r="AH50" i="4" s="1"/>
  <c r="Z28" i="4"/>
  <c r="Z44" i="4" s="1"/>
  <c r="Z45" i="4" s="1"/>
  <c r="Z48" i="4" s="1"/>
  <c r="Z51" i="4" s="1"/>
  <c r="Z54" i="4" s="1"/>
  <c r="I24" i="3"/>
  <c r="I29" i="3" s="1"/>
  <c r="S24" i="3"/>
  <c r="S29" i="3" s="1"/>
  <c r="AC24" i="3"/>
  <c r="AC29" i="3" s="1"/>
  <c r="AM24" i="3"/>
  <c r="AM29" i="3" s="1"/>
  <c r="Z31" i="4"/>
  <c r="Z33" i="4" s="1"/>
  <c r="Z53" i="4" s="1"/>
  <c r="AJ23" i="4"/>
  <c r="AJ28" i="4" s="1"/>
  <c r="AJ44" i="4" s="1"/>
  <c r="AJ45" i="4" s="1"/>
  <c r="AJ48" i="4" s="1"/>
  <c r="AJ51" i="4" s="1"/>
  <c r="I31" i="4"/>
  <c r="I33" i="4" s="1"/>
  <c r="I53" i="4" s="1"/>
  <c r="I23" i="4"/>
  <c r="E27" i="4"/>
  <c r="E50" i="4" s="1"/>
  <c r="Y27" i="4"/>
  <c r="Y50" i="4" s="1"/>
  <c r="Y24" i="4"/>
  <c r="AB27" i="4"/>
  <c r="AB50" i="4" s="1"/>
  <c r="N42" i="4"/>
  <c r="AH42" i="4"/>
  <c r="AM31" i="4"/>
  <c r="AM33" i="4" s="1"/>
  <c r="AM53" i="4" s="1"/>
  <c r="AM23" i="4"/>
  <c r="AM28" i="4" s="1"/>
  <c r="AM44" i="4" s="1"/>
  <c r="R26" i="4"/>
  <c r="R27" i="4"/>
  <c r="R50" i="4" s="1"/>
  <c r="P23" i="4"/>
  <c r="AJ31" i="4"/>
  <c r="AJ33" i="4" s="1"/>
  <c r="AJ53" i="4" s="1"/>
  <c r="L26" i="4"/>
  <c r="L27" i="4" s="1"/>
  <c r="L50" i="4" s="1"/>
  <c r="AC42" i="4"/>
  <c r="AM45" i="4"/>
  <c r="AM48" i="4" s="1"/>
  <c r="AM51" i="4" s="1"/>
  <c r="AM54" i="4" s="1"/>
  <c r="C27" i="4"/>
  <c r="C50" i="4" s="1"/>
  <c r="M27" i="4"/>
  <c r="M50" i="4" s="1"/>
  <c r="W27" i="4"/>
  <c r="W50" i="4" s="1"/>
  <c r="AG27" i="4"/>
  <c r="AG50" i="4" s="1"/>
  <c r="C26" i="4"/>
  <c r="G42" i="4"/>
  <c r="AA42" i="4"/>
  <c r="AI42" i="4"/>
  <c r="AL50" i="3" l="1"/>
  <c r="AL29" i="3"/>
  <c r="U50" i="4"/>
  <c r="U51" i="4" s="1"/>
  <c r="U54" i="4" s="1"/>
  <c r="U29" i="4"/>
  <c r="C60" i="4"/>
  <c r="C62" i="4" s="1"/>
  <c r="C60" i="2"/>
  <c r="C62" i="2"/>
  <c r="P51" i="2"/>
  <c r="P54" i="2" s="1"/>
  <c r="K29" i="3"/>
  <c r="AI54" i="3"/>
  <c r="F29" i="2"/>
  <c r="AI29" i="2"/>
  <c r="V24" i="2"/>
  <c r="V29" i="2" s="1"/>
  <c r="AE29" i="3"/>
  <c r="H28" i="4"/>
  <c r="H44" i="4" s="1"/>
  <c r="H45" i="4" s="1"/>
  <c r="H48" i="4" s="1"/>
  <c r="H51" i="4" s="1"/>
  <c r="H54" i="4" s="1"/>
  <c r="H24" i="4"/>
  <c r="H29" i="4" s="1"/>
  <c r="G24" i="4"/>
  <c r="G29" i="4" s="1"/>
  <c r="G51" i="2"/>
  <c r="G54" i="2" s="1"/>
  <c r="AB29" i="4"/>
  <c r="AM24" i="4"/>
  <c r="AM29" i="4" s="1"/>
  <c r="O51" i="2"/>
  <c r="O54" i="2" s="1"/>
  <c r="Z54" i="2"/>
  <c r="R28" i="4"/>
  <c r="R44" i="4" s="1"/>
  <c r="R45" i="4" s="1"/>
  <c r="R48" i="4" s="1"/>
  <c r="R51" i="4" s="1"/>
  <c r="R54" i="4" s="1"/>
  <c r="P29" i="3"/>
  <c r="AL24" i="2"/>
  <c r="AL29" i="2" s="1"/>
  <c r="L28" i="4"/>
  <c r="L44" i="4" s="1"/>
  <c r="L45" i="4" s="1"/>
  <c r="L48" i="4" s="1"/>
  <c r="L51" i="4" s="1"/>
  <c r="L54" i="4" s="1"/>
  <c r="G28" i="3"/>
  <c r="G44" i="3" s="1"/>
  <c r="G45" i="3" s="1"/>
  <c r="G48" i="3" s="1"/>
  <c r="G51" i="3" s="1"/>
  <c r="G54" i="3" s="1"/>
  <c r="Q29" i="2"/>
  <c r="AE24" i="2"/>
  <c r="AE29" i="2" s="1"/>
  <c r="T28" i="3"/>
  <c r="T44" i="3" s="1"/>
  <c r="T45" i="3" s="1"/>
  <c r="T48" i="3" s="1"/>
  <c r="T51" i="3" s="1"/>
  <c r="T54" i="3" s="1"/>
  <c r="U28" i="2"/>
  <c r="U44" i="2" s="1"/>
  <c r="U45" i="2" s="1"/>
  <c r="U48" i="2" s="1"/>
  <c r="U51" i="2" s="1"/>
  <c r="U54" i="2" s="1"/>
  <c r="J24" i="2"/>
  <c r="J29" i="2" s="1"/>
  <c r="AM24" i="2"/>
  <c r="AM29" i="2" s="1"/>
  <c r="P51" i="3"/>
  <c r="P54" i="3" s="1"/>
  <c r="E51" i="3"/>
  <c r="E54" i="3" s="1"/>
  <c r="AB28" i="2"/>
  <c r="AB44" i="2" s="1"/>
  <c r="AB45" i="2" s="1"/>
  <c r="AB48" i="2" s="1"/>
  <c r="AB51" i="2" s="1"/>
  <c r="AB54" i="2" s="1"/>
  <c r="D38" i="4"/>
  <c r="D56" i="4"/>
  <c r="E37" i="4"/>
  <c r="P29" i="2"/>
  <c r="AB27" i="3"/>
  <c r="R29" i="4"/>
  <c r="K24" i="4"/>
  <c r="K29" i="4" s="1"/>
  <c r="AD29" i="3"/>
  <c r="U24" i="3"/>
  <c r="U29" i="3" s="1"/>
  <c r="Q24" i="4"/>
  <c r="Q29" i="4" s="1"/>
  <c r="AF28" i="3"/>
  <c r="AF44" i="3" s="1"/>
  <c r="AF45" i="3" s="1"/>
  <c r="AF48" i="3" s="1"/>
  <c r="AF51" i="3" s="1"/>
  <c r="AF54" i="3" s="1"/>
  <c r="I28" i="3"/>
  <c r="I44" i="3" s="1"/>
  <c r="I45" i="3" s="1"/>
  <c r="I48" i="3" s="1"/>
  <c r="I51" i="3" s="1"/>
  <c r="I54" i="3" s="1"/>
  <c r="I47" i="3"/>
  <c r="AG24" i="4"/>
  <c r="AG29" i="4" s="1"/>
  <c r="AF24" i="3"/>
  <c r="AF29" i="3" s="1"/>
  <c r="K28" i="3"/>
  <c r="K44" i="3" s="1"/>
  <c r="K45" i="3" s="1"/>
  <c r="K48" i="3" s="1"/>
  <c r="K51" i="3" s="1"/>
  <c r="K54" i="3" s="1"/>
  <c r="D54" i="3"/>
  <c r="D57" i="3" s="1"/>
  <c r="G24" i="3"/>
  <c r="G29" i="3" s="1"/>
  <c r="AL28" i="3"/>
  <c r="AL44" i="3" s="1"/>
  <c r="AL45" i="3" s="1"/>
  <c r="AL48" i="3" s="1"/>
  <c r="AL51" i="3" s="1"/>
  <c r="AL54" i="3" s="1"/>
  <c r="R28" i="3"/>
  <c r="R44" i="3" s="1"/>
  <c r="R45" i="3" s="1"/>
  <c r="R48" i="3" s="1"/>
  <c r="R51" i="3" s="1"/>
  <c r="R54" i="3" s="1"/>
  <c r="T24" i="3"/>
  <c r="T29" i="3" s="1"/>
  <c r="AD27" i="3"/>
  <c r="AD50" i="3" s="1"/>
  <c r="AD51" i="3" s="1"/>
  <c r="AD54" i="3" s="1"/>
  <c r="N24" i="3"/>
  <c r="N29" i="3" s="1"/>
  <c r="R29" i="2"/>
  <c r="F24" i="3"/>
  <c r="F29" i="3" s="1"/>
  <c r="AF24" i="2"/>
  <c r="AF29" i="2" s="1"/>
  <c r="AB24" i="2"/>
  <c r="AB29" i="2" s="1"/>
  <c r="F28" i="2"/>
  <c r="F44" i="2" s="1"/>
  <c r="F45" i="2" s="1"/>
  <c r="F48" i="2" s="1"/>
  <c r="F51" i="2" s="1"/>
  <c r="F54" i="2" s="1"/>
  <c r="L51" i="2"/>
  <c r="L54" i="2" s="1"/>
  <c r="S51" i="4"/>
  <c r="S54" i="4" s="1"/>
  <c r="U51" i="3"/>
  <c r="U54" i="3" s="1"/>
  <c r="Z28" i="3"/>
  <c r="Z44" i="3" s="1"/>
  <c r="Z45" i="3" s="1"/>
  <c r="Z48" i="3" s="1"/>
  <c r="Z51" i="3" s="1"/>
  <c r="Z54" i="3" s="1"/>
  <c r="Z24" i="3"/>
  <c r="Z29" i="3" s="1"/>
  <c r="I28" i="4"/>
  <c r="I44" i="4" s="1"/>
  <c r="I45" i="4" s="1"/>
  <c r="I48" i="4" s="1"/>
  <c r="I51" i="4" s="1"/>
  <c r="I54" i="4" s="1"/>
  <c r="I24" i="4"/>
  <c r="I29" i="4" s="1"/>
  <c r="M51" i="4"/>
  <c r="M54" i="4" s="1"/>
  <c r="U29" i="2"/>
  <c r="AH24" i="2"/>
  <c r="AH29" i="2" s="1"/>
  <c r="AH28" i="2"/>
  <c r="AH44" i="2" s="1"/>
  <c r="AH45" i="2" s="1"/>
  <c r="AH48" i="2" s="1"/>
  <c r="AH51" i="2" s="1"/>
  <c r="AH54" i="2" s="1"/>
  <c r="AH24" i="4"/>
  <c r="AH29" i="4" s="1"/>
  <c r="V29" i="3"/>
  <c r="X24" i="4"/>
  <c r="X29" i="4" s="1"/>
  <c r="AM28" i="3"/>
  <c r="AM44" i="3" s="1"/>
  <c r="AM45" i="3" s="1"/>
  <c r="AM48" i="3" s="1"/>
  <c r="AM51" i="3" s="1"/>
  <c r="AM54" i="3" s="1"/>
  <c r="AJ54" i="4"/>
  <c r="J24" i="4"/>
  <c r="J29" i="4" s="1"/>
  <c r="J24" i="3"/>
  <c r="J29" i="3" s="1"/>
  <c r="AJ24" i="4"/>
  <c r="AJ29" i="4" s="1"/>
  <c r="W24" i="3"/>
  <c r="W29" i="3" s="1"/>
  <c r="F24" i="4"/>
  <c r="F29" i="4" s="1"/>
  <c r="L24" i="4"/>
  <c r="L29" i="4" s="1"/>
  <c r="Q51" i="2"/>
  <c r="Q54" i="2" s="1"/>
  <c r="E24" i="3"/>
  <c r="E29" i="3" s="1"/>
  <c r="AK24" i="3"/>
  <c r="AK29" i="3" s="1"/>
  <c r="AK28" i="3"/>
  <c r="AK44" i="3" s="1"/>
  <c r="AK45" i="3" s="1"/>
  <c r="AK48" i="3" s="1"/>
  <c r="AK51" i="3" s="1"/>
  <c r="AK54" i="3" s="1"/>
  <c r="V51" i="3"/>
  <c r="V54" i="3" s="1"/>
  <c r="AB51" i="4"/>
  <c r="AB54" i="4" s="1"/>
  <c r="D38" i="3"/>
  <c r="D56" i="3"/>
  <c r="E37" i="3"/>
  <c r="V54" i="4"/>
  <c r="T54" i="4"/>
  <c r="S28" i="3"/>
  <c r="S44" i="3" s="1"/>
  <c r="S45" i="3" s="1"/>
  <c r="S48" i="3" s="1"/>
  <c r="S51" i="3" s="1"/>
  <c r="S54" i="3" s="1"/>
  <c r="R24" i="3"/>
  <c r="R29" i="3" s="1"/>
  <c r="T29" i="2"/>
  <c r="C24" i="3"/>
  <c r="C29" i="3" s="1"/>
  <c r="R51" i="2"/>
  <c r="R54" i="2" s="1"/>
  <c r="H29" i="2"/>
  <c r="G24" i="2"/>
  <c r="G29" i="2" s="1"/>
  <c r="AC24" i="2"/>
  <c r="AC29" i="2" s="1"/>
  <c r="AG54" i="2"/>
  <c r="K54" i="2"/>
  <c r="O24" i="2"/>
  <c r="O29" i="2" s="1"/>
  <c r="Y24" i="2"/>
  <c r="Y29" i="2" s="1"/>
  <c r="L24" i="2"/>
  <c r="L29" i="2" s="1"/>
  <c r="Y51" i="4"/>
  <c r="Y54" i="4" s="1"/>
  <c r="D57" i="4"/>
  <c r="M29" i="4"/>
  <c r="E24" i="4"/>
  <c r="E29" i="4" s="1"/>
  <c r="X24" i="3"/>
  <c r="X29" i="3" s="1"/>
  <c r="AC28" i="3"/>
  <c r="AC44" i="3" s="1"/>
  <c r="AC45" i="3" s="1"/>
  <c r="AC48" i="3" s="1"/>
  <c r="AC51" i="3" s="1"/>
  <c r="AC54" i="3" s="1"/>
  <c r="S29" i="2"/>
  <c r="AG54" i="4"/>
  <c r="AE28" i="4"/>
  <c r="AE44" i="4" s="1"/>
  <c r="AE45" i="4" s="1"/>
  <c r="AE48" i="4" s="1"/>
  <c r="AE51" i="4" s="1"/>
  <c r="AE54" i="4" s="1"/>
  <c r="AE24" i="4"/>
  <c r="AE29" i="4" s="1"/>
  <c r="AI24" i="4"/>
  <c r="AI29" i="4" s="1"/>
  <c r="D38" i="2"/>
  <c r="D56" i="2"/>
  <c r="D57" i="2" s="1"/>
  <c r="E37" i="2"/>
  <c r="H51" i="3"/>
  <c r="H54" i="3" s="1"/>
  <c r="AJ28" i="2"/>
  <c r="AJ44" i="2" s="1"/>
  <c r="AJ45" i="2" s="1"/>
  <c r="AJ48" i="2" s="1"/>
  <c r="AJ51" i="2" s="1"/>
  <c r="AJ54" i="2" s="1"/>
  <c r="AE51" i="3"/>
  <c r="AE54" i="3" s="1"/>
  <c r="AA28" i="4"/>
  <c r="AA44" i="4" s="1"/>
  <c r="AA45" i="4" s="1"/>
  <c r="AA48" i="4" s="1"/>
  <c r="AA51" i="4" s="1"/>
  <c r="AA54" i="4" s="1"/>
  <c r="AA24" i="4"/>
  <c r="AA29" i="4" s="1"/>
  <c r="M54" i="3"/>
  <c r="W24" i="4"/>
  <c r="W29" i="4" s="1"/>
  <c r="P28" i="4"/>
  <c r="P44" i="4" s="1"/>
  <c r="P45" i="4" s="1"/>
  <c r="P48" i="4" s="1"/>
  <c r="P51" i="4" s="1"/>
  <c r="P54" i="4" s="1"/>
  <c r="P24" i="4"/>
  <c r="P29" i="4" s="1"/>
  <c r="Y29" i="4"/>
  <c r="N24" i="4"/>
  <c r="N29" i="4" s="1"/>
  <c r="C60" i="3"/>
  <c r="C62" i="3" s="1"/>
  <c r="AC28" i="4"/>
  <c r="AC44" i="4" s="1"/>
  <c r="AC45" i="4" s="1"/>
  <c r="AC48" i="4" s="1"/>
  <c r="AC51" i="4" s="1"/>
  <c r="AC54" i="4" s="1"/>
  <c r="AC24" i="4"/>
  <c r="AC29" i="4" s="1"/>
  <c r="AF54" i="4"/>
  <c r="S24" i="4"/>
  <c r="S29" i="4" s="1"/>
  <c r="O28" i="4"/>
  <c r="O44" i="4" s="1"/>
  <c r="O45" i="4" s="1"/>
  <c r="O48" i="4" s="1"/>
  <c r="O51" i="4" s="1"/>
  <c r="O54" i="4" s="1"/>
  <c r="AD54" i="2"/>
  <c r="AI51" i="2"/>
  <c r="AI54" i="2" s="1"/>
  <c r="Y54" i="3"/>
  <c r="H24" i="3"/>
  <c r="H29" i="3" s="1"/>
  <c r="O24" i="3"/>
  <c r="O29" i="3" s="1"/>
  <c r="I24" i="2"/>
  <c r="I29" i="2" s="1"/>
  <c r="AJ54" i="3"/>
  <c r="T51" i="2"/>
  <c r="T54" i="2" s="1"/>
  <c r="E24" i="2"/>
  <c r="E29" i="2" s="1"/>
  <c r="C63" i="4" l="1"/>
  <c r="C64" i="4" s="1"/>
  <c r="C65" i="4"/>
  <c r="C65" i="3"/>
  <c r="C63" i="3"/>
  <c r="C64" i="3" s="1"/>
  <c r="D59" i="2"/>
  <c r="D60" i="2" s="1"/>
  <c r="D62" i="2" s="1"/>
  <c r="D59" i="3"/>
  <c r="D60" i="3" s="1"/>
  <c r="D62" i="3" s="1"/>
  <c r="E57" i="3"/>
  <c r="AB50" i="3"/>
  <c r="AB51" i="3" s="1"/>
  <c r="AB54" i="3" s="1"/>
  <c r="AB29" i="3"/>
  <c r="C65" i="2"/>
  <c r="C63" i="2"/>
  <c r="C64" i="2" s="1"/>
  <c r="E56" i="2"/>
  <c r="E57" i="2" s="1"/>
  <c r="E38" i="2"/>
  <c r="F37" i="2"/>
  <c r="E56" i="3"/>
  <c r="E38" i="3"/>
  <c r="F37" i="3"/>
  <c r="D59" i="4"/>
  <c r="D60" i="4" s="1"/>
  <c r="D62" i="4" s="1"/>
  <c r="E38" i="4"/>
  <c r="E56" i="4"/>
  <c r="E57" i="4" s="1"/>
  <c r="F37" i="4"/>
  <c r="D65" i="4" l="1"/>
  <c r="D63" i="4"/>
  <c r="D64" i="4" s="1"/>
  <c r="D63" i="3"/>
  <c r="D64" i="3" s="1"/>
  <c r="D65" i="3"/>
  <c r="D65" i="2"/>
  <c r="D63" i="2"/>
  <c r="D64" i="2" s="1"/>
  <c r="F56" i="3"/>
  <c r="F57" i="3" s="1"/>
  <c r="F38" i="3"/>
  <c r="G37" i="3"/>
  <c r="E59" i="3"/>
  <c r="E60" i="3"/>
  <c r="E62" i="3" s="1"/>
  <c r="F38" i="4"/>
  <c r="F56" i="4"/>
  <c r="F57" i="4" s="1"/>
  <c r="G37" i="4"/>
  <c r="E59" i="4"/>
  <c r="E60" i="4" s="1"/>
  <c r="E62" i="4" s="1"/>
  <c r="G37" i="2"/>
  <c r="F56" i="2"/>
  <c r="F57" i="2" s="1"/>
  <c r="F38" i="2"/>
  <c r="E59" i="2"/>
  <c r="E60" i="2"/>
  <c r="E62" i="2" s="1"/>
  <c r="E65" i="2" l="1"/>
  <c r="E63" i="2"/>
  <c r="E64" i="2" s="1"/>
  <c r="E63" i="4"/>
  <c r="E64" i="4" s="1"/>
  <c r="E65" i="4"/>
  <c r="E65" i="3"/>
  <c r="E63" i="3"/>
  <c r="E64" i="3" s="1"/>
  <c r="G38" i="4"/>
  <c r="G56" i="4"/>
  <c r="G57" i="4" s="1"/>
  <c r="H37" i="4"/>
  <c r="G56" i="2"/>
  <c r="G57" i="2" s="1"/>
  <c r="G38" i="2"/>
  <c r="H37" i="2"/>
  <c r="G38" i="3"/>
  <c r="G56" i="3"/>
  <c r="G57" i="3" s="1"/>
  <c r="H37" i="3"/>
  <c r="F59" i="3"/>
  <c r="F60" i="3" s="1"/>
  <c r="F62" i="3" s="1"/>
  <c r="F59" i="4"/>
  <c r="F60" i="4" s="1"/>
  <c r="F62" i="4" s="1"/>
  <c r="F60" i="2"/>
  <c r="F62" i="2" s="1"/>
  <c r="F59" i="2"/>
  <c r="F65" i="4" l="1"/>
  <c r="F63" i="4"/>
  <c r="F64" i="4" s="1"/>
  <c r="F65" i="2"/>
  <c r="F63" i="2"/>
  <c r="F64" i="2" s="1"/>
  <c r="F65" i="3"/>
  <c r="F63" i="3"/>
  <c r="F64" i="3" s="1"/>
  <c r="G59" i="4"/>
  <c r="G60" i="4"/>
  <c r="G62" i="4" s="1"/>
  <c r="H56" i="2"/>
  <c r="H57" i="2" s="1"/>
  <c r="I37" i="2"/>
  <c r="H38" i="2"/>
  <c r="G59" i="2"/>
  <c r="G60" i="2" s="1"/>
  <c r="G62" i="2" s="1"/>
  <c r="H56" i="4"/>
  <c r="H57" i="4" s="1"/>
  <c r="I37" i="4"/>
  <c r="H38" i="4"/>
  <c r="H56" i="3"/>
  <c r="H57" i="3" s="1"/>
  <c r="H38" i="3"/>
  <c r="I37" i="3"/>
  <c r="G59" i="3"/>
  <c r="G60" i="3" s="1"/>
  <c r="G62" i="3" s="1"/>
  <c r="G63" i="3" l="1"/>
  <c r="G64" i="3" s="1"/>
  <c r="G65" i="3"/>
  <c r="G65" i="4"/>
  <c r="G63" i="4"/>
  <c r="G64" i="4" s="1"/>
  <c r="G63" i="2"/>
  <c r="G64" i="2" s="1"/>
  <c r="G65" i="2"/>
  <c r="H60" i="2"/>
  <c r="H62" i="2" s="1"/>
  <c r="H59" i="2"/>
  <c r="H59" i="3"/>
  <c r="H60" i="3"/>
  <c r="H62" i="3" s="1"/>
  <c r="I56" i="4"/>
  <c r="I57" i="4" s="1"/>
  <c r="J37" i="4"/>
  <c r="I38" i="4"/>
  <c r="H60" i="4"/>
  <c r="H62" i="4"/>
  <c r="H59" i="4"/>
  <c r="I56" i="3"/>
  <c r="I57" i="3" s="1"/>
  <c r="I38" i="3"/>
  <c r="J37" i="3"/>
  <c r="I56" i="2"/>
  <c r="I57" i="2" s="1"/>
  <c r="J37" i="2"/>
  <c r="I38" i="2"/>
  <c r="H65" i="3" l="1"/>
  <c r="H63" i="3"/>
  <c r="H64" i="3" s="1"/>
  <c r="H63" i="2"/>
  <c r="H64" i="2" s="1"/>
  <c r="H65" i="2"/>
  <c r="J56" i="4"/>
  <c r="J57" i="4" s="1"/>
  <c r="K37" i="4"/>
  <c r="J38" i="4"/>
  <c r="I59" i="4"/>
  <c r="I60" i="4"/>
  <c r="I62" i="4"/>
  <c r="I59" i="2"/>
  <c r="I60" i="2"/>
  <c r="I62" i="2" s="1"/>
  <c r="K37" i="3"/>
  <c r="J56" i="3"/>
  <c r="J57" i="3" s="1"/>
  <c r="J38" i="3"/>
  <c r="I59" i="3"/>
  <c r="I60" i="3" s="1"/>
  <c r="I62" i="3" s="1"/>
  <c r="H65" i="4"/>
  <c r="H63" i="4"/>
  <c r="H64" i="4" s="1"/>
  <c r="J38" i="2"/>
  <c r="K37" i="2"/>
  <c r="J56" i="2"/>
  <c r="J57" i="2" s="1"/>
  <c r="I63" i="3" l="1"/>
  <c r="I64" i="3" s="1"/>
  <c r="I65" i="3"/>
  <c r="I63" i="2"/>
  <c r="I64" i="2" s="1"/>
  <c r="I65" i="2"/>
  <c r="I65" i="4"/>
  <c r="I63" i="4"/>
  <c r="I64" i="4" s="1"/>
  <c r="K56" i="4"/>
  <c r="K57" i="4" s="1"/>
  <c r="L37" i="4"/>
  <c r="K38" i="4"/>
  <c r="J59" i="4"/>
  <c r="J60" i="4" s="1"/>
  <c r="J62" i="4" s="1"/>
  <c r="L37" i="3"/>
  <c r="K56" i="3"/>
  <c r="K57" i="3" s="1"/>
  <c r="K38" i="3"/>
  <c r="J59" i="3"/>
  <c r="J60" i="3" s="1"/>
  <c r="J62" i="3" s="1"/>
  <c r="J59" i="2"/>
  <c r="J60" i="2" s="1"/>
  <c r="J62" i="2" s="1"/>
  <c r="K56" i="2"/>
  <c r="K57" i="2" s="1"/>
  <c r="K38" i="2"/>
  <c r="L37" i="2"/>
  <c r="J63" i="2" l="1"/>
  <c r="J64" i="2" s="1"/>
  <c r="J65" i="2"/>
  <c r="J65" i="4"/>
  <c r="J63" i="4"/>
  <c r="J64" i="4" s="1"/>
  <c r="J63" i="3"/>
  <c r="J64" i="3" s="1"/>
  <c r="J65" i="3"/>
  <c r="L56" i="4"/>
  <c r="L57" i="4" s="1"/>
  <c r="M37" i="4"/>
  <c r="L38" i="4"/>
  <c r="K59" i="4"/>
  <c r="K60" i="4" s="1"/>
  <c r="K62" i="4" s="1"/>
  <c r="L38" i="2"/>
  <c r="M37" i="2"/>
  <c r="L56" i="2"/>
  <c r="L57" i="2" s="1"/>
  <c r="K59" i="3"/>
  <c r="K60" i="3" s="1"/>
  <c r="K62" i="3" s="1"/>
  <c r="L56" i="3"/>
  <c r="L57" i="3" s="1"/>
  <c r="M37" i="3"/>
  <c r="L38" i="3"/>
  <c r="K59" i="2"/>
  <c r="K60" i="2" s="1"/>
  <c r="K62" i="2" s="1"/>
  <c r="K63" i="2" l="1"/>
  <c r="K64" i="2" s="1"/>
  <c r="K65" i="2"/>
  <c r="K63" i="3"/>
  <c r="K64" i="3" s="1"/>
  <c r="K65" i="3"/>
  <c r="K63" i="4"/>
  <c r="K64" i="4" s="1"/>
  <c r="K65" i="4"/>
  <c r="M38" i="3"/>
  <c r="N37" i="3"/>
  <c r="M56" i="3"/>
  <c r="M57" i="3" s="1"/>
  <c r="L59" i="3"/>
  <c r="L60" i="3" s="1"/>
  <c r="L62" i="3" s="1"/>
  <c r="N37" i="4"/>
  <c r="M56" i="4"/>
  <c r="M57" i="4" s="1"/>
  <c r="M38" i="4"/>
  <c r="L59" i="4"/>
  <c r="L60" i="4"/>
  <c r="L62" i="4"/>
  <c r="M38" i="2"/>
  <c r="M56" i="2"/>
  <c r="M57" i="2" s="1"/>
  <c r="N37" i="2"/>
  <c r="L59" i="2"/>
  <c r="L60" i="2" s="1"/>
  <c r="L62" i="2" s="1"/>
  <c r="L63" i="2" l="1"/>
  <c r="L64" i="2" s="1"/>
  <c r="L65" i="2"/>
  <c r="L63" i="3"/>
  <c r="L64" i="3" s="1"/>
  <c r="L65" i="3"/>
  <c r="N56" i="2"/>
  <c r="N57" i="2" s="1"/>
  <c r="N38" i="2"/>
  <c r="O37" i="2"/>
  <c r="M59" i="2"/>
  <c r="M60" i="2" s="1"/>
  <c r="M62" i="2" s="1"/>
  <c r="L63" i="4"/>
  <c r="L64" i="4" s="1"/>
  <c r="L65" i="4"/>
  <c r="M59" i="3"/>
  <c r="M60" i="3" s="1"/>
  <c r="M62" i="3" s="1"/>
  <c r="N38" i="3"/>
  <c r="O37" i="3"/>
  <c r="N56" i="3"/>
  <c r="N57" i="3" s="1"/>
  <c r="M59" i="4"/>
  <c r="M60" i="4" s="1"/>
  <c r="M62" i="4" s="1"/>
  <c r="N56" i="4"/>
  <c r="N57" i="4" s="1"/>
  <c r="N38" i="4"/>
  <c r="O37" i="4"/>
  <c r="M65" i="2" l="1"/>
  <c r="M63" i="2"/>
  <c r="M64" i="2" s="1"/>
  <c r="M63" i="4"/>
  <c r="M64" i="4" s="1"/>
  <c r="M65" i="4"/>
  <c r="M65" i="3"/>
  <c r="M63" i="3"/>
  <c r="M64" i="3" s="1"/>
  <c r="O38" i="3"/>
  <c r="P37" i="3"/>
  <c r="O56" i="3"/>
  <c r="O57" i="3" s="1"/>
  <c r="N59" i="2"/>
  <c r="N60" i="2" s="1"/>
  <c r="N62" i="2" s="1"/>
  <c r="O38" i="4"/>
  <c r="O56" i="4"/>
  <c r="O57" i="4" s="1"/>
  <c r="P37" i="4"/>
  <c r="N59" i="4"/>
  <c r="N60" i="4"/>
  <c r="N62" i="4" s="1"/>
  <c r="N60" i="3"/>
  <c r="N62" i="3"/>
  <c r="N59" i="3"/>
  <c r="O56" i="2"/>
  <c r="O57" i="2" s="1"/>
  <c r="O38" i="2"/>
  <c r="P37" i="2"/>
  <c r="N65" i="2" l="1"/>
  <c r="N63" i="2"/>
  <c r="N64" i="2" s="1"/>
  <c r="N63" i="4"/>
  <c r="N64" i="4" s="1"/>
  <c r="N65" i="4"/>
  <c r="N63" i="3"/>
  <c r="N64" i="3" s="1"/>
  <c r="N65" i="3"/>
  <c r="O59" i="3"/>
  <c r="O60" i="3"/>
  <c r="O62" i="3"/>
  <c r="P38" i="3"/>
  <c r="Q37" i="3"/>
  <c r="P56" i="3"/>
  <c r="P57" i="3" s="1"/>
  <c r="P38" i="4"/>
  <c r="P56" i="4"/>
  <c r="P57" i="4" s="1"/>
  <c r="Q37" i="4"/>
  <c r="P38" i="2"/>
  <c r="P56" i="2"/>
  <c r="P57" i="2" s="1"/>
  <c r="Q37" i="2"/>
  <c r="O60" i="4"/>
  <c r="O62" i="4"/>
  <c r="O59" i="4"/>
  <c r="O59" i="2"/>
  <c r="O60" i="2"/>
  <c r="O62" i="2" s="1"/>
  <c r="O65" i="2" l="1"/>
  <c r="O63" i="2"/>
  <c r="O64" i="2" s="1"/>
  <c r="O63" i="4"/>
  <c r="O64" i="4" s="1"/>
  <c r="O65" i="4"/>
  <c r="O63" i="3"/>
  <c r="O64" i="3" s="1"/>
  <c r="O65" i="3"/>
  <c r="R37" i="2"/>
  <c r="Q56" i="2"/>
  <c r="Q57" i="2" s="1"/>
  <c r="Q38" i="2"/>
  <c r="P60" i="2"/>
  <c r="P62" i="2" s="1"/>
  <c r="P59" i="2"/>
  <c r="Q56" i="4"/>
  <c r="Q57" i="4" s="1"/>
  <c r="Q38" i="4"/>
  <c r="R37" i="4"/>
  <c r="P59" i="4"/>
  <c r="P60" i="4"/>
  <c r="P62" i="4"/>
  <c r="P59" i="3"/>
  <c r="P60" i="3" s="1"/>
  <c r="P62" i="3" s="1"/>
  <c r="Q38" i="3"/>
  <c r="R37" i="3"/>
  <c r="Q56" i="3"/>
  <c r="Q57" i="3" s="1"/>
  <c r="P65" i="2" l="1"/>
  <c r="P63" i="2"/>
  <c r="P64" i="2" s="1"/>
  <c r="P65" i="3"/>
  <c r="P63" i="3"/>
  <c r="P64" i="3" s="1"/>
  <c r="P65" i="4"/>
  <c r="P63" i="4"/>
  <c r="P64" i="4" s="1"/>
  <c r="Q59" i="2"/>
  <c r="Q60" i="2" s="1"/>
  <c r="Q62" i="2" s="1"/>
  <c r="R56" i="2"/>
  <c r="R57" i="2" s="1"/>
  <c r="S37" i="2"/>
  <c r="R38" i="2"/>
  <c r="R38" i="4"/>
  <c r="R56" i="4"/>
  <c r="R57" i="4" s="1"/>
  <c r="S37" i="4"/>
  <c r="Q59" i="3"/>
  <c r="Q60" i="3" s="1"/>
  <c r="Q62" i="3" s="1"/>
  <c r="R56" i="3"/>
  <c r="R57" i="3" s="1"/>
  <c r="R38" i="3"/>
  <c r="S37" i="3"/>
  <c r="Q59" i="4"/>
  <c r="Q60" i="4"/>
  <c r="Q62" i="4"/>
  <c r="Q63" i="2" l="1"/>
  <c r="Q64" i="2" s="1"/>
  <c r="Q65" i="2"/>
  <c r="Q63" i="3"/>
  <c r="Q64" i="3" s="1"/>
  <c r="Q65" i="3"/>
  <c r="R59" i="2"/>
  <c r="R60" i="2" s="1"/>
  <c r="R62" i="2" s="1"/>
  <c r="R59" i="3"/>
  <c r="R60" i="3"/>
  <c r="R62" i="3" s="1"/>
  <c r="T37" i="4"/>
  <c r="S56" i="4"/>
  <c r="S57" i="4" s="1"/>
  <c r="S38" i="4"/>
  <c r="Q65" i="4"/>
  <c r="Q63" i="4"/>
  <c r="Q64" i="4" s="1"/>
  <c r="R59" i="4"/>
  <c r="R60" i="4" s="1"/>
  <c r="R62" i="4" s="1"/>
  <c r="S56" i="3"/>
  <c r="S57" i="3" s="1"/>
  <c r="T37" i="3"/>
  <c r="S38" i="3"/>
  <c r="S56" i="2"/>
  <c r="S57" i="2" s="1"/>
  <c r="T37" i="2"/>
  <c r="S38" i="2"/>
  <c r="R65" i="3" l="1"/>
  <c r="R63" i="3"/>
  <c r="R64" i="3" s="1"/>
  <c r="R63" i="4"/>
  <c r="R64" i="4" s="1"/>
  <c r="R65" i="4"/>
  <c r="R65" i="2"/>
  <c r="R63" i="2"/>
  <c r="R64" i="2" s="1"/>
  <c r="S59" i="2"/>
  <c r="S60" i="2" s="1"/>
  <c r="S62" i="2" s="1"/>
  <c r="S59" i="4"/>
  <c r="S60" i="4"/>
  <c r="S62" i="4" s="1"/>
  <c r="T38" i="3"/>
  <c r="T56" i="3"/>
  <c r="T57" i="3" s="1"/>
  <c r="U37" i="3"/>
  <c r="S59" i="3"/>
  <c r="S60" i="3" s="1"/>
  <c r="S62" i="3" s="1"/>
  <c r="T38" i="2"/>
  <c r="T56" i="2"/>
  <c r="T57" i="2" s="1"/>
  <c r="U37" i="2"/>
  <c r="T56" i="4"/>
  <c r="T57" i="4" s="1"/>
  <c r="T38" i="4"/>
  <c r="U37" i="4"/>
  <c r="S65" i="4" l="1"/>
  <c r="S63" i="4"/>
  <c r="S64" i="4" s="1"/>
  <c r="S63" i="2"/>
  <c r="S64" i="2" s="1"/>
  <c r="S65" i="2"/>
  <c r="S65" i="3"/>
  <c r="S63" i="3"/>
  <c r="S64" i="3" s="1"/>
  <c r="U56" i="2"/>
  <c r="U57" i="2" s="1"/>
  <c r="V37" i="2"/>
  <c r="U38" i="2"/>
  <c r="T59" i="2"/>
  <c r="T60" i="2"/>
  <c r="T62" i="2" s="1"/>
  <c r="V37" i="3"/>
  <c r="U56" i="3"/>
  <c r="U57" i="3" s="1"/>
  <c r="U38" i="3"/>
  <c r="U56" i="4"/>
  <c r="U57" i="4" s="1"/>
  <c r="V37" i="4"/>
  <c r="U38" i="4"/>
  <c r="T59" i="3"/>
  <c r="T60" i="3" s="1"/>
  <c r="T62" i="3" s="1"/>
  <c r="T59" i="4"/>
  <c r="T60" i="4" s="1"/>
  <c r="T62" i="4" s="1"/>
  <c r="T65" i="4" l="1"/>
  <c r="T63" i="4"/>
  <c r="T64" i="4" s="1"/>
  <c r="T65" i="3"/>
  <c r="T63" i="3"/>
  <c r="T64" i="3" s="1"/>
  <c r="T63" i="2"/>
  <c r="T64" i="2" s="1"/>
  <c r="T65" i="2"/>
  <c r="U59" i="2"/>
  <c r="U60" i="2" s="1"/>
  <c r="U62" i="2" s="1"/>
  <c r="V56" i="4"/>
  <c r="V57" i="4" s="1"/>
  <c r="V38" i="4"/>
  <c r="W37" i="4"/>
  <c r="V56" i="2"/>
  <c r="V57" i="2" s="1"/>
  <c r="V38" i="2"/>
  <c r="W37" i="2"/>
  <c r="U59" i="3"/>
  <c r="U60" i="3" s="1"/>
  <c r="U62" i="3" s="1"/>
  <c r="U60" i="4"/>
  <c r="U62" i="4" s="1"/>
  <c r="U59" i="4"/>
  <c r="W37" i="3"/>
  <c r="V56" i="3"/>
  <c r="V57" i="3" s="1"/>
  <c r="V38" i="3"/>
  <c r="U63" i="2" l="1"/>
  <c r="U64" i="2" s="1"/>
  <c r="U65" i="2"/>
  <c r="U65" i="4"/>
  <c r="U63" i="4"/>
  <c r="U64" i="4" s="1"/>
  <c r="U63" i="3"/>
  <c r="U64" i="3" s="1"/>
  <c r="U65" i="3"/>
  <c r="X37" i="2"/>
  <c r="W56" i="2"/>
  <c r="W57" i="2" s="1"/>
  <c r="W38" i="2"/>
  <c r="V59" i="2"/>
  <c r="V60" i="2" s="1"/>
  <c r="V62" i="2" s="1"/>
  <c r="V59" i="3"/>
  <c r="V60" i="3" s="1"/>
  <c r="V62" i="3" s="1"/>
  <c r="W56" i="3"/>
  <c r="W57" i="3" s="1"/>
  <c r="W38" i="3"/>
  <c r="X37" i="3"/>
  <c r="X37" i="4"/>
  <c r="W56" i="4"/>
  <c r="W57" i="4" s="1"/>
  <c r="W38" i="4"/>
  <c r="V59" i="4"/>
  <c r="V60" i="4"/>
  <c r="V62" i="4" s="1"/>
  <c r="V63" i="2" l="1"/>
  <c r="V64" i="2" s="1"/>
  <c r="V65" i="2"/>
  <c r="V63" i="4"/>
  <c r="V64" i="4" s="1"/>
  <c r="V65" i="4"/>
  <c r="V63" i="3"/>
  <c r="V64" i="3" s="1"/>
  <c r="V65" i="3"/>
  <c r="X38" i="3"/>
  <c r="X56" i="3"/>
  <c r="X57" i="3" s="1"/>
  <c r="Y37" i="3"/>
  <c r="X56" i="2"/>
  <c r="X57" i="2" s="1"/>
  <c r="X38" i="2"/>
  <c r="Y37" i="2"/>
  <c r="W59" i="4"/>
  <c r="W60" i="4" s="1"/>
  <c r="W62" i="4" s="1"/>
  <c r="X56" i="4"/>
  <c r="X57" i="4" s="1"/>
  <c r="Y37" i="4"/>
  <c r="X38" i="4"/>
  <c r="W59" i="2"/>
  <c r="W60" i="2" s="1"/>
  <c r="W62" i="2" s="1"/>
  <c r="W59" i="3"/>
  <c r="W60" i="3" s="1"/>
  <c r="W62" i="3" s="1"/>
  <c r="W63" i="3" l="1"/>
  <c r="W64" i="3" s="1"/>
  <c r="W65" i="3"/>
  <c r="W63" i="2"/>
  <c r="W64" i="2" s="1"/>
  <c r="W65" i="2"/>
  <c r="W63" i="4"/>
  <c r="W64" i="4" s="1"/>
  <c r="W65" i="4"/>
  <c r="X59" i="3"/>
  <c r="X60" i="3"/>
  <c r="X62" i="3" s="1"/>
  <c r="Z37" i="4"/>
  <c r="Y38" i="4"/>
  <c r="Y56" i="4"/>
  <c r="Y57" i="4" s="1"/>
  <c r="Y56" i="2"/>
  <c r="Y57" i="2" s="1"/>
  <c r="Z37" i="2"/>
  <c r="Y38" i="2"/>
  <c r="X59" i="2"/>
  <c r="X60" i="2"/>
  <c r="X62" i="2" s="1"/>
  <c r="Y56" i="3"/>
  <c r="Y57" i="3" s="1"/>
  <c r="Y38" i="3"/>
  <c r="Z37" i="3"/>
  <c r="X59" i="4"/>
  <c r="X60" i="4"/>
  <c r="X62" i="4" s="1"/>
  <c r="X63" i="4" l="1"/>
  <c r="X64" i="4" s="1"/>
  <c r="X65" i="4"/>
  <c r="X65" i="2"/>
  <c r="X63" i="2"/>
  <c r="X64" i="2" s="1"/>
  <c r="X63" i="3"/>
  <c r="X64" i="3" s="1"/>
  <c r="X65" i="3"/>
  <c r="Z38" i="4"/>
  <c r="AA37" i="4"/>
  <c r="Z56" i="4"/>
  <c r="Z57" i="4" s="1"/>
  <c r="Y59" i="3"/>
  <c r="Y60" i="3" s="1"/>
  <c r="Y62" i="3" s="1"/>
  <c r="Z38" i="2"/>
  <c r="Z56" i="2"/>
  <c r="Z57" i="2" s="1"/>
  <c r="AA37" i="2"/>
  <c r="Y59" i="2"/>
  <c r="Y60" i="2" s="1"/>
  <c r="Y62" i="2" s="1"/>
  <c r="Y59" i="4"/>
  <c r="Y60" i="4" s="1"/>
  <c r="Y62" i="4" s="1"/>
  <c r="Z56" i="3"/>
  <c r="Z57" i="3" s="1"/>
  <c r="Z38" i="3"/>
  <c r="AA37" i="3"/>
  <c r="Y63" i="4" l="1"/>
  <c r="Y64" i="4" s="1"/>
  <c r="Y65" i="4"/>
  <c r="Y65" i="2"/>
  <c r="Y63" i="2"/>
  <c r="Y64" i="2" s="1"/>
  <c r="Y65" i="3"/>
  <c r="Y63" i="3"/>
  <c r="Y64" i="3" s="1"/>
  <c r="Z59" i="4"/>
  <c r="Z60" i="4" s="1"/>
  <c r="Z62" i="4" s="1"/>
  <c r="AA38" i="4"/>
  <c r="AA56" i="4"/>
  <c r="AA57" i="4" s="1"/>
  <c r="AB37" i="4"/>
  <c r="AB37" i="2"/>
  <c r="AA38" i="2"/>
  <c r="AA56" i="2"/>
  <c r="AA57" i="2" s="1"/>
  <c r="AA56" i="3"/>
  <c r="AA57" i="3" s="1"/>
  <c r="AA38" i="3"/>
  <c r="AB37" i="3"/>
  <c r="Z59" i="2"/>
  <c r="Z60" i="2"/>
  <c r="Z62" i="2" s="1"/>
  <c r="Z59" i="3"/>
  <c r="Z60" i="3"/>
  <c r="Z62" i="3" s="1"/>
  <c r="Z65" i="3" l="1"/>
  <c r="Z63" i="3"/>
  <c r="Z64" i="3" s="1"/>
  <c r="Z65" i="2"/>
  <c r="Z63" i="2"/>
  <c r="Z64" i="2" s="1"/>
  <c r="Z65" i="4"/>
  <c r="Z63" i="4"/>
  <c r="Z64" i="4" s="1"/>
  <c r="AA59" i="3"/>
  <c r="AA60" i="3"/>
  <c r="AA62" i="3" s="1"/>
  <c r="AB38" i="2"/>
  <c r="AC37" i="2"/>
  <c r="AB56" i="2"/>
  <c r="AB57" i="2" s="1"/>
  <c r="AC37" i="4"/>
  <c r="AB38" i="4"/>
  <c r="AB56" i="4"/>
  <c r="AB57" i="4" s="1"/>
  <c r="AA59" i="2"/>
  <c r="AA60" i="2" s="1"/>
  <c r="AA62" i="2" s="1"/>
  <c r="AA59" i="4"/>
  <c r="AA60" i="4"/>
  <c r="AA62" i="4" s="1"/>
  <c r="AB56" i="3"/>
  <c r="AB57" i="3" s="1"/>
  <c r="AB38" i="3"/>
  <c r="AC37" i="3"/>
  <c r="AA63" i="2" l="1"/>
  <c r="AA64" i="2" s="1"/>
  <c r="AA65" i="2"/>
  <c r="AA65" i="3"/>
  <c r="AA63" i="3"/>
  <c r="AA64" i="3" s="1"/>
  <c r="AA65" i="4"/>
  <c r="AA63" i="4"/>
  <c r="AA64" i="4" s="1"/>
  <c r="AB59" i="4"/>
  <c r="AB60" i="4" s="1"/>
  <c r="AB62" i="4" s="1"/>
  <c r="AC56" i="3"/>
  <c r="AC57" i="3" s="1"/>
  <c r="AC38" i="3"/>
  <c r="AD37" i="3"/>
  <c r="AC38" i="4"/>
  <c r="AD37" i="4"/>
  <c r="AC56" i="4"/>
  <c r="AC57" i="4" s="1"/>
  <c r="AB59" i="3"/>
  <c r="AB60" i="3"/>
  <c r="AB62" i="3" s="1"/>
  <c r="AB59" i="2"/>
  <c r="AB60" i="2" s="1"/>
  <c r="AB62" i="2" s="1"/>
  <c r="AC56" i="2"/>
  <c r="AC57" i="2" s="1"/>
  <c r="AD37" i="2"/>
  <c r="AC38" i="2"/>
  <c r="AB63" i="4" l="1"/>
  <c r="AB64" i="4" s="1"/>
  <c r="AB65" i="4"/>
  <c r="AB65" i="2"/>
  <c r="AB63" i="2"/>
  <c r="AB64" i="2" s="1"/>
  <c r="AB65" i="3"/>
  <c r="AB63" i="3"/>
  <c r="AB64" i="3" s="1"/>
  <c r="AD38" i="2"/>
  <c r="AD56" i="2"/>
  <c r="AD57" i="2" s="1"/>
  <c r="AE37" i="2"/>
  <c r="AC60" i="2"/>
  <c r="AC62" i="2" s="1"/>
  <c r="AC59" i="2"/>
  <c r="AE37" i="3"/>
  <c r="AD38" i="3"/>
  <c r="AD56" i="3"/>
  <c r="AD57" i="3" s="1"/>
  <c r="AC59" i="3"/>
  <c r="AC60" i="3"/>
  <c r="AC62" i="3"/>
  <c r="AC59" i="4"/>
  <c r="AC60" i="4"/>
  <c r="AC62" i="4" s="1"/>
  <c r="AD56" i="4"/>
  <c r="AD57" i="4" s="1"/>
  <c r="AE37" i="4"/>
  <c r="AD38" i="4"/>
  <c r="AC65" i="2" l="1"/>
  <c r="AC63" i="2"/>
  <c r="AC64" i="2" s="1"/>
  <c r="AC65" i="4"/>
  <c r="AC63" i="4"/>
  <c r="AC64" i="4" s="1"/>
  <c r="AE56" i="2"/>
  <c r="AE57" i="2" s="1"/>
  <c r="AF37" i="2"/>
  <c r="AE38" i="2"/>
  <c r="AC65" i="3"/>
  <c r="AC63" i="3"/>
  <c r="AC64" i="3" s="1"/>
  <c r="AD59" i="2"/>
  <c r="AD60" i="2" s="1"/>
  <c r="AD62" i="2" s="1"/>
  <c r="AD60" i="3"/>
  <c r="AD62" i="3" s="1"/>
  <c r="AD59" i="3"/>
  <c r="AE56" i="4"/>
  <c r="AE57" i="4" s="1"/>
  <c r="AE38" i="4"/>
  <c r="AF37" i="4"/>
  <c r="AF37" i="3"/>
  <c r="AE38" i="3"/>
  <c r="AE56" i="3"/>
  <c r="AE57" i="3" s="1"/>
  <c r="AD59" i="4"/>
  <c r="AD60" i="4" s="1"/>
  <c r="AD62" i="4" s="1"/>
  <c r="AD65" i="2" l="1"/>
  <c r="AD63" i="2"/>
  <c r="AD64" i="2" s="1"/>
  <c r="AD63" i="4"/>
  <c r="AD64" i="4" s="1"/>
  <c r="AD65" i="4"/>
  <c r="AD65" i="3"/>
  <c r="AD63" i="3"/>
  <c r="AD64" i="3" s="1"/>
  <c r="AE59" i="3"/>
  <c r="AE60" i="3" s="1"/>
  <c r="AE62" i="3" s="1"/>
  <c r="AF38" i="3"/>
  <c r="AG37" i="3"/>
  <c r="AF56" i="3"/>
  <c r="AF57" i="3" s="1"/>
  <c r="AG37" i="4"/>
  <c r="AF38" i="4"/>
  <c r="AF56" i="4"/>
  <c r="AF57" i="4" s="1"/>
  <c r="AE59" i="4"/>
  <c r="AE60" i="4" s="1"/>
  <c r="AE62" i="4" s="1"/>
  <c r="AG37" i="2"/>
  <c r="AF38" i="2"/>
  <c r="AF56" i="2"/>
  <c r="AF57" i="2" s="1"/>
  <c r="AE59" i="2"/>
  <c r="AE60" i="2"/>
  <c r="AE62" i="2" s="1"/>
  <c r="AE63" i="2" l="1"/>
  <c r="AE64" i="2" s="1"/>
  <c r="AE65" i="2"/>
  <c r="AE65" i="3"/>
  <c r="AE63" i="3"/>
  <c r="AE64" i="3" s="1"/>
  <c r="AE63" i="4"/>
  <c r="AE64" i="4" s="1"/>
  <c r="AE65" i="4"/>
  <c r="AG56" i="2"/>
  <c r="AG57" i="2" s="1"/>
  <c r="AH37" i="2"/>
  <c r="AG38" i="2"/>
  <c r="AF60" i="4"/>
  <c r="AF62" i="4" s="1"/>
  <c r="AF59" i="4"/>
  <c r="AH37" i="4"/>
  <c r="AG56" i="4"/>
  <c r="AG57" i="4" s="1"/>
  <c r="AG38" i="4"/>
  <c r="AF59" i="3"/>
  <c r="AF60" i="3" s="1"/>
  <c r="AF62" i="3" s="1"/>
  <c r="AF59" i="2"/>
  <c r="AF60" i="2" s="1"/>
  <c r="AF62" i="2" s="1"/>
  <c r="AH37" i="3"/>
  <c r="AG56" i="3"/>
  <c r="AG57" i="3" s="1"/>
  <c r="AG38" i="3"/>
  <c r="AF63" i="4" l="1"/>
  <c r="AF64" i="4" s="1"/>
  <c r="AF65" i="4"/>
  <c r="AF63" i="2"/>
  <c r="AF64" i="2" s="1"/>
  <c r="AF65" i="2"/>
  <c r="AF63" i="3"/>
  <c r="AF64" i="3" s="1"/>
  <c r="AF65" i="3"/>
  <c r="AI37" i="2"/>
  <c r="AH56" i="2"/>
  <c r="AH57" i="2" s="1"/>
  <c r="AH38" i="2"/>
  <c r="AG60" i="2"/>
  <c r="AG62" i="2" s="1"/>
  <c r="AG59" i="2"/>
  <c r="AG59" i="4"/>
  <c r="AG60" i="4" s="1"/>
  <c r="AG62" i="4" s="1"/>
  <c r="AG59" i="3"/>
  <c r="AG60" i="3" s="1"/>
  <c r="AG62" i="3" s="1"/>
  <c r="AH56" i="4"/>
  <c r="AH57" i="4" s="1"/>
  <c r="AH38" i="4"/>
  <c r="AI37" i="4"/>
  <c r="AH38" i="3"/>
  <c r="AH56" i="3"/>
  <c r="AH57" i="3" s="1"/>
  <c r="AI37" i="3"/>
  <c r="AG65" i="2" l="1"/>
  <c r="AG63" i="2"/>
  <c r="AG64" i="2" s="1"/>
  <c r="AG63" i="3"/>
  <c r="AG64" i="3" s="1"/>
  <c r="AG65" i="3"/>
  <c r="AG63" i="4"/>
  <c r="AG64" i="4" s="1"/>
  <c r="AG65" i="4"/>
  <c r="AH59" i="2"/>
  <c r="AH60" i="2"/>
  <c r="AH62" i="2" s="1"/>
  <c r="AH59" i="3"/>
  <c r="AH60" i="3" s="1"/>
  <c r="AH62" i="3" s="1"/>
  <c r="AH60" i="4"/>
  <c r="AH62" i="4" s="1"/>
  <c r="AH59" i="4"/>
  <c r="AI56" i="2"/>
  <c r="AI57" i="2" s="1"/>
  <c r="AI38" i="2"/>
  <c r="AJ37" i="2"/>
  <c r="AI56" i="3"/>
  <c r="AI57" i="3" s="1"/>
  <c r="AI38" i="3"/>
  <c r="AJ37" i="3"/>
  <c r="AI56" i="4"/>
  <c r="AI57" i="4" s="1"/>
  <c r="AI38" i="4"/>
  <c r="AJ37" i="4"/>
  <c r="AH65" i="4" l="1"/>
  <c r="AH63" i="4"/>
  <c r="AH64" i="4" s="1"/>
  <c r="AH63" i="3"/>
  <c r="AH64" i="3" s="1"/>
  <c r="AH65" i="3"/>
  <c r="AH63" i="2"/>
  <c r="AH64" i="2" s="1"/>
  <c r="AH65" i="2"/>
  <c r="AJ56" i="3"/>
  <c r="AJ57" i="3" s="1"/>
  <c r="AJ38" i="3"/>
  <c r="AK37" i="3"/>
  <c r="AI62" i="2"/>
  <c r="AI59" i="2"/>
  <c r="AI60" i="2"/>
  <c r="AI59" i="4"/>
  <c r="AI60" i="4" s="1"/>
  <c r="AI62" i="4" s="1"/>
  <c r="AI59" i="3"/>
  <c r="AI60" i="3"/>
  <c r="AI62" i="3"/>
  <c r="AK37" i="2"/>
  <c r="AJ38" i="2"/>
  <c r="AJ56" i="2"/>
  <c r="AJ57" i="2" s="1"/>
  <c r="AJ38" i="4"/>
  <c r="AJ56" i="4"/>
  <c r="AJ57" i="4" s="1"/>
  <c r="AK37" i="4"/>
  <c r="AI63" i="4" l="1"/>
  <c r="AI64" i="4" s="1"/>
  <c r="AI65" i="4"/>
  <c r="AK56" i="3"/>
  <c r="AK57" i="3" s="1"/>
  <c r="AL37" i="3"/>
  <c r="AK38" i="3"/>
  <c r="AI65" i="2"/>
  <c r="AI63" i="2"/>
  <c r="AI64" i="2" s="1"/>
  <c r="AJ59" i="3"/>
  <c r="AJ60" i="3"/>
  <c r="AJ62" i="3"/>
  <c r="AL37" i="2"/>
  <c r="AK38" i="2"/>
  <c r="AK56" i="2"/>
  <c r="AK57" i="2" s="1"/>
  <c r="AI63" i="3"/>
  <c r="AI64" i="3" s="1"/>
  <c r="AI65" i="3"/>
  <c r="AK38" i="4"/>
  <c r="AK56" i="4"/>
  <c r="AK57" i="4" s="1"/>
  <c r="AL37" i="4"/>
  <c r="AJ59" i="4"/>
  <c r="AJ60" i="4"/>
  <c r="AJ62" i="4" s="1"/>
  <c r="AJ59" i="2"/>
  <c r="AJ60" i="2" s="1"/>
  <c r="AJ62" i="2" s="1"/>
  <c r="AJ65" i="4" l="1"/>
  <c r="AJ63" i="4"/>
  <c r="AJ64" i="4" s="1"/>
  <c r="AJ65" i="2"/>
  <c r="AJ63" i="2"/>
  <c r="AJ64" i="2" s="1"/>
  <c r="AL38" i="4"/>
  <c r="AL56" i="4"/>
  <c r="AL57" i="4" s="1"/>
  <c r="AM37" i="4"/>
  <c r="AK59" i="2"/>
  <c r="AK60" i="2"/>
  <c r="AK62" i="2" s="1"/>
  <c r="AL56" i="3"/>
  <c r="AL57" i="3" s="1"/>
  <c r="AL38" i="3"/>
  <c r="AM37" i="3"/>
  <c r="AK59" i="3"/>
  <c r="AK60" i="3"/>
  <c r="AK62" i="3" s="1"/>
  <c r="AL38" i="2"/>
  <c r="AL56" i="2"/>
  <c r="AL57" i="2" s="1"/>
  <c r="AM37" i="2"/>
  <c r="AJ65" i="3"/>
  <c r="AJ63" i="3"/>
  <c r="AJ64" i="3" s="1"/>
  <c r="AK59" i="4"/>
  <c r="AK60" i="4"/>
  <c r="AK62" i="4" s="1"/>
  <c r="AK65" i="2" l="1"/>
  <c r="AK63" i="2"/>
  <c r="AK64" i="2" s="1"/>
  <c r="AK63" i="3"/>
  <c r="AK64" i="3" s="1"/>
  <c r="AK65" i="3"/>
  <c r="AK65" i="4"/>
  <c r="AK63" i="4"/>
  <c r="AK64" i="4" s="1"/>
  <c r="AL59" i="2"/>
  <c r="AL60" i="2" s="1"/>
  <c r="AL62" i="2" s="1"/>
  <c r="AM56" i="4"/>
  <c r="AM57" i="4" s="1"/>
  <c r="AM38" i="4"/>
  <c r="AM56" i="2"/>
  <c r="AM57" i="2" s="1"/>
  <c r="AM38" i="2"/>
  <c r="AL59" i="4"/>
  <c r="AL60" i="4" s="1"/>
  <c r="AL62" i="4" s="1"/>
  <c r="AM56" i="3"/>
  <c r="AM57" i="3" s="1"/>
  <c r="AM38" i="3"/>
  <c r="AL59" i="3"/>
  <c r="AL60" i="3" s="1"/>
  <c r="AL62" i="3" s="1"/>
  <c r="AL65" i="2" l="1"/>
  <c r="AL63" i="2"/>
  <c r="AL64" i="2" s="1"/>
  <c r="AL65" i="3"/>
  <c r="AL63" i="3"/>
  <c r="AL64" i="3" s="1"/>
  <c r="AL65" i="4"/>
  <c r="AL63" i="4"/>
  <c r="AL64" i="4" s="1"/>
  <c r="AM59" i="4"/>
  <c r="AM60" i="4"/>
  <c r="AM62" i="4"/>
  <c r="AM59" i="3"/>
  <c r="AM60" i="3" s="1"/>
  <c r="AM62" i="3" s="1"/>
  <c r="AM59" i="2"/>
  <c r="AM60" i="2" s="1"/>
  <c r="AM62" i="2" s="1"/>
  <c r="AM65" i="3" l="1"/>
  <c r="AM63" i="3"/>
  <c r="AM64" i="3" s="1"/>
  <c r="AM65" i="2"/>
  <c r="AM63" i="2"/>
  <c r="AM64" i="2" s="1"/>
  <c r="AM65" i="4"/>
  <c r="AM63" i="4"/>
  <c r="AM64" i="4" s="1"/>
</calcChain>
</file>

<file path=xl/sharedStrings.xml><?xml version="1.0" encoding="utf-8"?>
<sst xmlns="http://schemas.openxmlformats.org/spreadsheetml/2006/main" count="763" uniqueCount="344">
  <si>
    <t>钢铁行业减碳基准路径模型 V7 - 行业基准校准版</t>
  </si>
  <si>
    <t>由碳强度目标倒推技术路径比例 | 基准年碳强度=1.95 | 2024-2060逐年 | CCUS百万吨起步</t>
  </si>
  <si>
    <t>一、模型目的</t>
  </si>
  <si>
    <t>本模型为金融机构转型金融业务提供钢铁行业减碳基准路径参考。</t>
  </si>
  <si>
    <t>核心方法论: 自上而下(CG碳预算) + 自下而上(行业技术路径) 双路径耦合。</t>
  </si>
  <si>
    <t>模型本质: 由结果(碳强度目标)倒推过程(技术路径比例)，确保关键年份目标对齐。</t>
  </si>
  <si>
    <t>二、全局硬性规定</t>
  </si>
  <si>
    <t>1. 禁止硬编码: 除Step1/2基准数据外，所有数值由公式生成。</t>
  </si>
  <si>
    <t>2. 年份连续: 2024-2060每一年数据，不得省略。</t>
  </si>
  <si>
    <t>3. 情景梯度: 保守 &gt; 适度 &gt; 积极(每年都必须成立)。</t>
  </si>
  <si>
    <t>4. 基准年约束: 2024年碳强度=1.95, 2025年碳强度=1.904(三情景统一, 自然效应)。</t>
  </si>
  <si>
    <t>5. 单位规范: 产量(万吨), 碳排放(万吨CO2), 碳强度(tCO2/t)。</t>
  </si>
  <si>
    <t>6. CCUS约束: 百万吨起步, 2030年保守200-500/适度500-800/积极800-1200万吨。</t>
  </si>
  <si>
    <t>7. H2冶金基准: 2024年=1%(约1000万吨), 2030年~2900万吨, 2050年0.96-1.12亿吨。</t>
  </si>
  <si>
    <t>三、关键年份目标(已校准)</t>
  </si>
  <si>
    <t>指标</t>
  </si>
  <si>
    <t>积极</t>
  </si>
  <si>
    <t>适度</t>
  </si>
  <si>
    <t>保守</t>
  </si>
  <si>
    <t>2024碳强度</t>
  </si>
  <si>
    <t>1.9500</t>
  </si>
  <si>
    <t>2025碳强度</t>
  </si>
  <si>
    <t>1.9051</t>
  </si>
  <si>
    <t>2030碳强度</t>
  </si>
  <si>
    <t>1.5920</t>
  </si>
  <si>
    <t>1.7990</t>
  </si>
  <si>
    <t>1.8425</t>
  </si>
  <si>
    <t>2030降幅(vs2024)</t>
  </si>
  <si>
    <t>-18.36%</t>
  </si>
  <si>
    <t>-7.74%</t>
  </si>
  <si>
    <t>-5.52%</t>
  </si>
  <si>
    <t>2035碳强度</t>
  </si>
  <si>
    <t>1.1734</t>
  </si>
  <si>
    <t>1.6185</t>
  </si>
  <si>
    <t>1.6814</t>
  </si>
  <si>
    <t>2060碳强度</t>
  </si>
  <si>
    <t>0.0040</t>
  </si>
  <si>
    <t>0.0060</t>
  </si>
  <si>
    <t>0.0080</t>
  </si>
  <si>
    <t>2060 CCUS(亿吨)</t>
  </si>
  <si>
    <t>2.7</t>
  </si>
  <si>
    <t>4.1</t>
  </si>
  <si>
    <t>5.6</t>
  </si>
  <si>
    <t>四、基准年参数(Step 2)</t>
  </si>
  <si>
    <t>基准年</t>
  </si>
  <si>
    <t>2024</t>
  </si>
  <si>
    <t>长流程废钢比(%)</t>
  </si>
  <si>
    <t>30</t>
  </si>
  <si>
    <t>粗钢产量(万吨)</t>
  </si>
  <si>
    <t>100,509</t>
  </si>
  <si>
    <t>短流程废钢比(%)</t>
  </si>
  <si>
    <t>100</t>
  </si>
  <si>
    <t>碳排放总量(万吨CO2)</t>
  </si>
  <si>
    <t>195,992</t>
  </si>
  <si>
    <t>氢冶金废钢比(%)</t>
  </si>
  <si>
    <t>50</t>
  </si>
  <si>
    <t>吨钢碳排放强度(tCO2/t)</t>
  </si>
  <si>
    <t>1.95</t>
  </si>
  <si>
    <t>吨钢耗废钢量</t>
  </si>
  <si>
    <t>1.1</t>
  </si>
  <si>
    <t>长流程产量占比(%)</t>
  </si>
  <si>
    <t>89</t>
  </si>
  <si>
    <t>吨钢耗铁水量</t>
  </si>
  <si>
    <t>1.053</t>
  </si>
  <si>
    <t>短流程产量占比(%)</t>
  </si>
  <si>
    <t>10</t>
  </si>
  <si>
    <t>吨铁水耗铁矿石量</t>
  </si>
  <si>
    <t>1.65</t>
  </si>
  <si>
    <t>氢冶金产量占比(%)</t>
  </si>
  <si>
    <t>1</t>
  </si>
  <si>
    <t>BF-BOF碳排放强度(tCO2/t)</t>
  </si>
  <si>
    <t>1.80</t>
  </si>
  <si>
    <t>Scrap-EAF碳排放强度(tCO2/t)</t>
  </si>
  <si>
    <t>0.45</t>
  </si>
  <si>
    <t>长流程铁水碳排放强度(tCO2/t)</t>
  </si>
  <si>
    <t>1.26</t>
  </si>
  <si>
    <t>DRI-EAF碳排放强度(tCO2/t)</t>
  </si>
  <si>
    <t>电网因子(kgCO2/kWh)</t>
  </si>
  <si>
    <t>0.5306</t>
  </si>
  <si>
    <t>BF-BOF耗电(kWh/t)</t>
  </si>
  <si>
    <t>450</t>
  </si>
  <si>
    <t>Scrap-EAF耗电(kWh/t)</t>
  </si>
  <si>
    <t>550</t>
  </si>
  <si>
    <t>DRI-EAF耗电(kWh/t)</t>
  </si>
  <si>
    <t>500</t>
  </si>
  <si>
    <t>五、Sheet索引</t>
  </si>
  <si>
    <t>Sheet 1</t>
  </si>
  <si>
    <t>模型总览与设计逻辑</t>
  </si>
  <si>
    <t>本页</t>
  </si>
  <si>
    <t>Sheet 2</t>
  </si>
  <si>
    <t>积极情景</t>
  </si>
  <si>
    <t>NZE/1.5C路线图</t>
  </si>
  <si>
    <t>Sheet 3</t>
  </si>
  <si>
    <t>适度情景</t>
  </si>
  <si>
    <t>CGE 2C(推荐对标)</t>
  </si>
  <si>
    <t>Sheet 4</t>
  </si>
  <si>
    <t>保守情景</t>
  </si>
  <si>
    <t>NDC政策承诺</t>
  </si>
  <si>
    <t>Sheet 5</t>
  </si>
  <si>
    <t>汇总对比与可视化</t>
  </si>
  <si>
    <t>三情景对比+图表</t>
  </si>
  <si>
    <t>Sheet 6</t>
  </si>
  <si>
    <t>金融机构(组合)</t>
  </si>
  <si>
    <t>银行总行资产组合对标</t>
  </si>
  <si>
    <t>Sheet 7</t>
  </si>
  <si>
    <t>金融机构(企业)</t>
  </si>
  <si>
    <t>龙头企业目标对标</t>
  </si>
  <si>
    <t>钢铁行业减碳基准路径 - 积极情景</t>
  </si>
  <si>
    <t>基准年2024 | 碳强度1.95 tCO2/t | CCUS百万吨起步 | 2024-2060逐年</t>
  </si>
  <si>
    <t>公式说明</t>
  </si>
  <si>
    <t>Step 2: 基准年参数</t>
  </si>
  <si>
    <t>Step 1: 宏观经济假设</t>
  </si>
  <si>
    <t>参数名称</t>
  </si>
  <si>
    <t>参数值</t>
  </si>
  <si>
    <t>GDP增长率(%)</t>
  </si>
  <si>
    <t>国家统计局/IFS-CGE</t>
  </si>
  <si>
    <t>实际GDP(2020价万亿)</t>
  </si>
  <si>
    <t>支出法GDP</t>
  </si>
  <si>
    <t>人口(亿人)</t>
  </si>
  <si>
    <t>联合国中位预测</t>
  </si>
  <si>
    <t>全国CO2排放(亿吨)</t>
  </si>
  <si>
    <t>IFS-CGE模型</t>
  </si>
  <si>
    <t>吨钢综合能耗(kgce/t)</t>
  </si>
  <si>
    <t>2025+1.9%: 产品结构调整+超低排放+入炉矿品位下降</t>
  </si>
  <si>
    <t>吨钢综合能耗同比变化(%)</t>
  </si>
  <si>
    <t>国家统计局/中钢协数据</t>
  </si>
  <si>
    <t>---工艺参数---</t>
  </si>
  <si>
    <t>Step 3: 粗钢产量(万吨)</t>
  </si>
  <si>
    <t>CAGR插值(三情景共用)</t>
  </si>
  <si>
    <t>Step 4: 流程结构</t>
  </si>
  <si>
    <t>二分法校准</t>
  </si>
  <si>
    <t>情景差异化</t>
  </si>
  <si>
    <t>长流程产量(万吨)</t>
  </si>
  <si>
    <t>短流程产量(万吨)</t>
  </si>
  <si>
    <t>氢冶金产量(万吨)</t>
  </si>
  <si>
    <t>BF-BOF碳排放强度</t>
  </si>
  <si>
    <t>1.80 tCO2/t</t>
  </si>
  <si>
    <t>Step 5: 铁素资源结构</t>
  </si>
  <si>
    <t>Scrap-EAF碳排放强度</t>
  </si>
  <si>
    <t>0.45 tCO2/t</t>
  </si>
  <si>
    <t>废钢资源量参考(万吨/年)</t>
  </si>
  <si>
    <t>崔志峰等(2023): 2045峰值约5亿吨, 2050年4.7-5.2亿吨</t>
  </si>
  <si>
    <t>DRI-EAF碳排放强度</t>
  </si>
  <si>
    <t>1.65 tCO2/t</t>
  </si>
  <si>
    <t>长流程废钢消耗量(万吨)</t>
  </si>
  <si>
    <t>铁素资源公式</t>
  </si>
  <si>
    <t>铁水碳排放强度</t>
  </si>
  <si>
    <t>1.26 tCO2/t</t>
  </si>
  <si>
    <t>长流程矿石消耗量(万吨)</t>
  </si>
  <si>
    <t>短流程废钢消耗量(万吨)</t>
  </si>
  <si>
    <t>---电力参数---</t>
  </si>
  <si>
    <t>氢冶金废钢消耗量(万吨)</t>
  </si>
  <si>
    <t>氢冶金矿石消耗量(万吨)</t>
  </si>
  <si>
    <t>废钢消耗总量(万吨)</t>
  </si>
  <si>
    <t>矿石消耗总量(万吨)</t>
  </si>
  <si>
    <t>Step 6: 电力结构</t>
  </si>
  <si>
    <t>总耗电量(万kWh)</t>
  </si>
  <si>
    <t>电力结构公式</t>
  </si>
  <si>
    <t>绿电占比</t>
  </si>
  <si>
    <t>总绿电量(万kWh)</t>
  </si>
  <si>
    <t>Step 7: 低碳技术</t>
  </si>
  <si>
    <t>低碳技术名称</t>
  </si>
  <si>
    <t>逐年技术部署</t>
  </si>
  <si>
    <t>干熄焦技术(已部署,含于基准)</t>
  </si>
  <si>
    <t>厚料层烧结技术</t>
  </si>
  <si>
    <t>球团废热循环利用技术</t>
  </si>
  <si>
    <t>-</t>
  </si>
  <si>
    <t>高炉炉顶煤气干式余压发电技术(TRT)</t>
  </si>
  <si>
    <t>高炉冲渣水直接换热回收余热技术</t>
  </si>
  <si>
    <t>转炉气体及显热回收技术</t>
  </si>
  <si>
    <t>转炉'负能炼钢'工艺技术</t>
  </si>
  <si>
    <t>钢包加盖技术</t>
  </si>
  <si>
    <t>钢包周转优化技术</t>
  </si>
  <si>
    <t>废钢预热技术</t>
  </si>
  <si>
    <t>电源及电控系统智能化控制技术</t>
  </si>
  <si>
    <t>电炉连续加料技术</t>
  </si>
  <si>
    <t>连铸坯热送热装技术</t>
  </si>
  <si>
    <t>薄板坯连铸技术</t>
  </si>
  <si>
    <t>当年降碳潜力(tCO2/t)</t>
  </si>
  <si>
    <t>逐年假设(可调)</t>
  </si>
  <si>
    <t>累计降碳潜力(tCO2/t)</t>
  </si>
  <si>
    <t>原始累计(含基准1.95内)</t>
  </si>
  <si>
    <t>Step 8: 低碳发展测算表(Waterfall)</t>
  </si>
  <si>
    <t>8.1 产量变化</t>
  </si>
  <si>
    <t>产量变化碳排放曲线(万吨CO2)</t>
  </si>
  <si>
    <t>产量变化降碳潜力(万吨CO2)</t>
  </si>
  <si>
    <t>8.2 原料结构优化</t>
  </si>
  <si>
    <t>原料优化降碳潜力(万吨CO2)</t>
  </si>
  <si>
    <t>原料优化碳排放曲线(万吨CO2)</t>
  </si>
  <si>
    <t>8.3 短流程比例提升</t>
  </si>
  <si>
    <t>短流程提升降碳潜力(万吨CO2)</t>
  </si>
  <si>
    <t>短流程提升碳排放曲线(万吨CO2)</t>
  </si>
  <si>
    <t>8.4 氢冶金比例提升</t>
  </si>
  <si>
    <t>氢冶金提升降碳潜力(万吨CO2)</t>
  </si>
  <si>
    <t>氢冶金提升碳排放曲线(万吨CO2)</t>
  </si>
  <si>
    <t>8.5 能源结构(绿电)</t>
  </si>
  <si>
    <t>绿电降碳潜力(万吨CO2)</t>
  </si>
  <si>
    <t>能源结构碳排放曲线(万吨CO2)</t>
  </si>
  <si>
    <t>8.6 低碳工艺技术</t>
  </si>
  <si>
    <t>低碳工艺降碳潜力(万吨CO2)</t>
  </si>
  <si>
    <t>低碳工艺碳排放曲线(万吨CO2)</t>
  </si>
  <si>
    <t>8.7 CCUS</t>
  </si>
  <si>
    <t>CCUS动态比例</t>
  </si>
  <si>
    <t>配平比例(2035前=0)</t>
  </si>
  <si>
    <t>CCUS捕集量(万吨CO2)</t>
  </si>
  <si>
    <t>8.8 最终结果</t>
  </si>
  <si>
    <t>碳强度较基准年变化(%)</t>
  </si>
  <si>
    <t>占全国碳预算比例(%)</t>
  </si>
  <si>
    <t>钢铁行业减碳基准路径 - 适度情景</t>
  </si>
  <si>
    <t>钢铁行业减碳基准路径 - 保守情景</t>
  </si>
  <si>
    <t>三情景碳强度对比与关键指标汇总</t>
  </si>
  <si>
    <t>年份</t>
  </si>
  <si>
    <t>保守情景吨钢碳强度</t>
  </si>
  <si>
    <t>保守累计降幅</t>
  </si>
  <si>
    <t>适度情景吨钢碳强度</t>
  </si>
  <si>
    <t>适度累计降幅</t>
  </si>
  <si>
    <t>积极情景吨钢碳强度</t>
  </si>
  <si>
    <t>积极累计降幅</t>
  </si>
  <si>
    <t>适度vs保守(百分点)</t>
  </si>
  <si>
    <t>积极vs适度(百分点)</t>
  </si>
  <si>
    <t>适度情景CO2排放(万吨)</t>
  </si>
  <si>
    <t>积极情景CO2排放(万吨)</t>
  </si>
  <si>
    <t>金融机构钢铁行业投融资组合减碳目标对标</t>
  </si>
  <si>
    <t>基于适度情景 | 技术路径降碳潜力与适度情景一致</t>
  </si>
  <si>
    <t>银行输入参数</t>
  </si>
  <si>
    <t>钢铁行业贷款总额(亿元)</t>
  </si>
  <si>
    <t>请输入</t>
  </si>
  <si>
    <t>加权平均碳强度起点(tCO2/t)</t>
  </si>
  <si>
    <t>2030年碳强度目标(tCO2/t)</t>
  </si>
  <si>
    <t>2035年碳强度目标(tCO2/t)</t>
  </si>
  <si>
    <t>2040年碳强度目标(tCO2/t)</t>
  </si>
  <si>
    <t>适度情景各减排路径贡献(万吨CO2)</t>
  </si>
  <si>
    <t>产量变化</t>
  </si>
  <si>
    <t>原料结构</t>
  </si>
  <si>
    <t>短流程提升</t>
  </si>
  <si>
    <t>氢冶金提升</t>
  </si>
  <si>
    <t>绿电</t>
  </si>
  <si>
    <t>低碳技术</t>
  </si>
  <si>
    <t>CCUS</t>
  </si>
  <si>
    <t>龙头企业碳减排目标对标与企业级路径验证</t>
  </si>
  <si>
    <t>国内龙头钢铁企业碳减排目标</t>
  </si>
  <si>
    <t>企业</t>
  </si>
  <si>
    <t>碳达峰年份</t>
  </si>
  <si>
    <t>目标年份</t>
  </si>
  <si>
    <t>目标减排幅度</t>
  </si>
  <si>
    <t>2024-2030折算减排幅度</t>
  </si>
  <si>
    <t>备注</t>
  </si>
  <si>
    <t>宝武集团</t>
  </si>
  <si>
    <t>较2020年吨钢碳排放强度下降30%</t>
  </si>
  <si>
    <t>13.3%</t>
  </si>
  <si>
    <t>行业龙头</t>
  </si>
  <si>
    <t>宝钢股份</t>
  </si>
  <si>
    <t>鞍钢股份</t>
  </si>
  <si>
    <t>较2025年吨钢碳排放强度下降30%</t>
  </si>
  <si>
    <t>19.3%</t>
  </si>
  <si>
    <t>首钢股份</t>
  </si>
  <si>
    <t>较2025年碳排放总量下降30%</t>
  </si>
  <si>
    <t>总量指标</t>
  </si>
  <si>
    <t>河钢集团</t>
  </si>
  <si>
    <t>较2022年吨钢碳排放强度下降30%</t>
  </si>
  <si>
    <t>23.4%</t>
  </si>
  <si>
    <t>建龙集团</t>
  </si>
  <si>
    <t>较2020年吨钢碳排放强度下降25%</t>
  </si>
  <si>
    <t>12.4%</t>
  </si>
  <si>
    <t>中信特钢</t>
  </si>
  <si>
    <t>较2021年吨钢碳排放强度下降5%</t>
  </si>
  <si>
    <t>3.4%</t>
  </si>
  <si>
    <t>已达峰</t>
  </si>
  <si>
    <t>2024-2030年碳减排目标均值</t>
  </si>
  <si>
    <t>14.9%</t>
  </si>
  <si>
    <t>标杆企业路径还原(宝山钢铁)</t>
  </si>
  <si>
    <t>2020</t>
  </si>
  <si>
    <t>2023</t>
  </si>
  <si>
    <t>2025(目标)</t>
  </si>
  <si>
    <t>2030(目标)</t>
  </si>
  <si>
    <t>吨钢碳排放强度(tCO2e/t)</t>
  </si>
  <si>
    <t>2.13</t>
  </si>
  <si>
    <t>2.04</t>
  </si>
  <si>
    <t>2.00</t>
  </si>
  <si>
    <t>1.96</t>
  </si>
  <si>
    <t>1.81</t>
  </si>
  <si>
    <t>相对指数(2020=1.00)</t>
  </si>
  <si>
    <t>1.00</t>
  </si>
  <si>
    <t>0.96</t>
  </si>
  <si>
    <t>0.94</t>
  </si>
  <si>
    <t>0.92</t>
  </si>
  <si>
    <t>0.85</t>
  </si>
  <si>
    <t>阶段降幅</t>
  </si>
  <si>
    <t>-4.0%</t>
  </si>
  <si>
    <t>-2.0%</t>
  </si>
  <si>
    <t>-2.2%</t>
  </si>
  <si>
    <t>-7.1%</t>
  </si>
  <si>
    <t>阶段性降碳斜率校验</t>
  </si>
  <si>
    <t>计算步骤</t>
  </si>
  <si>
    <t>公式</t>
  </si>
  <si>
    <t>结果</t>
  </si>
  <si>
    <t>2025/2024碳强度比</t>
  </si>
  <si>
    <t>0.92/0.94</t>
  </si>
  <si>
    <t>0.979</t>
  </si>
  <si>
    <t>2030/2025碳强度比</t>
  </si>
  <si>
    <t>0.85/0.92</t>
  </si>
  <si>
    <t>0.924</t>
  </si>
  <si>
    <t>2030/2024碳强度比</t>
  </si>
  <si>
    <t>0.85/0.94</t>
  </si>
  <si>
    <t>0.905</t>
  </si>
  <si>
    <t>2024-2030累计降幅</t>
  </si>
  <si>
    <t>1-0.905</t>
  </si>
  <si>
    <t>9.5%</t>
  </si>
  <si>
    <t>CAGR折算比例</t>
  </si>
  <si>
    <t>9.5%/13.3%</t>
  </si>
  <si>
    <t>71.4%</t>
  </si>
  <si>
    <t>行业龙头修正后降幅</t>
  </si>
  <si>
    <t>14.9%×71.4%</t>
  </si>
  <si>
    <t>10.64%</t>
  </si>
  <si>
    <t>行业降碳能力分层测算</t>
  </si>
  <si>
    <t>分类</t>
  </si>
  <si>
    <t>占比</t>
  </si>
  <si>
    <t>降碳幅度</t>
  </si>
  <si>
    <t>加权</t>
  </si>
  <si>
    <t>头部企业(CR10)</t>
  </si>
  <si>
    <t>42%</t>
  </si>
  <si>
    <t>4.47%</t>
  </si>
  <si>
    <t>其他企业</t>
  </si>
  <si>
    <t>58%</t>
  </si>
  <si>
    <t>5.85%</t>
  </si>
  <si>
    <t>3.39%</t>
  </si>
  <si>
    <t>行业整体</t>
  </si>
  <si>
    <t>100%</t>
  </si>
  <si>
    <t>7.86%</t>
  </si>
  <si>
    <t>信贷组合校正</t>
  </si>
  <si>
    <t>客户类型</t>
  </si>
  <si>
    <t>降碳贡献</t>
  </si>
  <si>
    <t>国央企(结构减排)</t>
  </si>
  <si>
    <t>70%</t>
  </si>
  <si>
    <t>5.50%</t>
  </si>
  <si>
    <t>流动资金贷款</t>
  </si>
  <si>
    <t>20%</t>
  </si>
  <si>
    <t>0%</t>
  </si>
  <si>
    <t>其他</t>
  </si>
  <si>
    <t>10%</t>
  </si>
  <si>
    <t>3%</t>
  </si>
  <si>
    <t>0.30%</t>
  </si>
  <si>
    <t>组合碳强度降幅</t>
  </si>
  <si>
    <t>5.80%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</si>
</sst>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"/>
    <numFmt numFmtId="177" formatCode="0.0%"/>
    <numFmt numFmtId="178" formatCode="0.0000"/>
  </numFmts>
  <fonts count="10">
    <font>
      <sz val="11"/>
      <color theme="1"/>
      <name val="宋体"/>
      <charset val="134"/>
      <scheme val="minor"/>
    </font>
    <font>
      <b/>
      <sz val="14"/>
      <color rgb="FF1F4E79"/>
      <name val="微软雅黑"/>
      <family val="2"/>
      <charset val="134"/>
    </font>
    <font>
      <b/>
      <sz val="12"/>
      <color rgb="FF1F4E79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sz val="10"/>
      <name val="微软雅黑"/>
      <family val="2"/>
      <charset val="134"/>
    </font>
    <font>
      <b/>
      <sz val="10"/>
      <name val="微软雅黑"/>
      <family val="2"/>
      <charset val="134"/>
    </font>
    <font>
      <i/>
      <sz val="9"/>
      <color rgb="FF666666"/>
      <name val="微软雅黑"/>
      <family val="2"/>
      <charset val="134"/>
    </font>
    <font>
      <b/>
      <sz val="14"/>
      <color rgb="FF2B2D31"/>
      <name val="宋体"/>
      <family val="3"/>
      <charset val="134"/>
      <scheme val="minor"/>
    </font>
    <font>
      <sz val="14"/>
      <color rgb="FF2B2D3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  <fill>
      <patternFill patternType="solid">
        <fgColor rgb="FF1F4E79"/>
        <bgColor rgb="FF1F4E79"/>
      </patternFill>
    </fill>
    <fill>
      <patternFill patternType="solid">
        <fgColor rgb="FFC6EFCE"/>
        <bgColor rgb="FFC6EFCE"/>
      </patternFill>
    </fill>
    <fill>
      <patternFill patternType="solid">
        <fgColor rgb="FFFCE4D6"/>
        <bgColor rgb="FFFCE4D6"/>
      </patternFill>
    </fill>
    <fill>
      <patternFill patternType="solid">
        <fgColor rgb="FFFFFFFF"/>
        <bgColor indexed="64"/>
      </patternFill>
    </fill>
    <fill>
      <patternFill patternType="solid">
        <fgColor rgb="FFD6E4F0"/>
        <bgColor rgb="FFD6E4F0"/>
      </patternFill>
    </fill>
    <fill>
      <patternFill patternType="solid">
        <fgColor rgb="FFE8DAEF"/>
        <bgColor rgb="FFE8DAEF"/>
      </patternFill>
    </fill>
    <fill>
      <patternFill patternType="solid">
        <fgColor rgb="FFBF8F00"/>
        <bgColor rgb="FFBF8F00"/>
      </patternFill>
    </fill>
    <fill>
      <patternFill patternType="solid">
        <fgColor rgb="FFFFF2CC"/>
        <bgColor rgb="FFFFF2CC"/>
      </patternFill>
    </fill>
    <fill>
      <patternFill patternType="solid">
        <fgColor rgb="FF548235"/>
        <bgColor rgb="FF548235"/>
      </patternFill>
    </fill>
    <fill>
      <patternFill patternType="solid">
        <fgColor rgb="FF4472C4"/>
        <bgColor rgb="FF4472C4"/>
      </patternFill>
    </fill>
    <fill>
      <patternFill patternType="solid">
        <fgColor rgb="FFC00000"/>
        <bgColor rgb="FFC000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0" fontId="7" fillId="6" borderId="0" xfId="0" applyFont="1" applyFill="1" applyAlignment="1">
      <alignment horizontal="left" wrapText="1" indent="2"/>
    </xf>
    <xf numFmtId="0" fontId="8" fillId="6" borderId="0" xfId="0" applyFont="1" applyFill="1" applyAlignment="1">
      <alignment horizontal="left" wrapText="1" indent="2"/>
    </xf>
    <xf numFmtId="10" fontId="8" fillId="6" borderId="0" xfId="0" applyNumberFormat="1" applyFont="1" applyFill="1" applyAlignment="1">
      <alignment horizontal="left" wrapText="1" indent="2"/>
    </xf>
    <xf numFmtId="3" fontId="8" fillId="6" borderId="0" xfId="0" applyNumberFormat="1" applyFont="1" applyFill="1" applyAlignment="1">
      <alignment horizontal="left" wrapText="1" indent="2"/>
    </xf>
    <xf numFmtId="0" fontId="5" fillId="7" borderId="1" xfId="0" applyFont="1" applyFill="1" applyBorder="1" applyAlignment="1">
      <alignment horizontal="center" vertical="center" wrapText="1"/>
    </xf>
    <xf numFmtId="176" fontId="4" fillId="5" borderId="1" xfId="0" applyNumberFormat="1" applyFont="1" applyFill="1" applyBorder="1" applyAlignment="1">
      <alignment horizontal="center" vertical="center" wrapText="1"/>
    </xf>
    <xf numFmtId="4" fontId="4" fillId="5" borderId="1" xfId="0" applyNumberFormat="1" applyFont="1" applyFill="1" applyBorder="1" applyAlignment="1">
      <alignment horizontal="center" vertical="center" wrapText="1"/>
    </xf>
    <xf numFmtId="2" fontId="4" fillId="5" borderId="1" xfId="0" applyNumberFormat="1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center" vertical="center" wrapText="1"/>
    </xf>
    <xf numFmtId="177" fontId="4" fillId="8" borderId="1" xfId="0" applyNumberFormat="1" applyFont="1" applyFill="1" applyBorder="1" applyAlignment="1">
      <alignment horizontal="center" vertical="center" wrapText="1"/>
    </xf>
    <xf numFmtId="3" fontId="4" fillId="8" borderId="1" xfId="0" applyNumberFormat="1" applyFont="1" applyFill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3" fontId="5" fillId="8" borderId="1" xfId="0" applyNumberFormat="1" applyFont="1" applyFill="1" applyBorder="1" applyAlignment="1">
      <alignment horizontal="center" vertical="center" wrapText="1"/>
    </xf>
    <xf numFmtId="177" fontId="4" fillId="5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178" fontId="4" fillId="5" borderId="1" xfId="0" applyNumberFormat="1" applyFont="1" applyFill="1" applyBorder="1" applyAlignment="1">
      <alignment horizontal="center" vertical="center" wrapText="1"/>
    </xf>
    <xf numFmtId="178" fontId="5" fillId="8" borderId="1" xfId="0" applyNumberFormat="1" applyFont="1" applyFill="1" applyBorder="1" applyAlignment="1">
      <alignment horizontal="center" vertical="center" wrapText="1"/>
    </xf>
    <xf numFmtId="178" fontId="6" fillId="0" borderId="1" xfId="0" applyNumberFormat="1" applyFont="1" applyBorder="1" applyAlignment="1">
      <alignment horizontal="center" vertical="center" wrapText="1"/>
    </xf>
    <xf numFmtId="3" fontId="5" fillId="4" borderId="1" xfId="0" applyNumberFormat="1" applyFont="1" applyFill="1" applyBorder="1" applyAlignment="1">
      <alignment horizontal="center" vertical="center" wrapText="1"/>
    </xf>
    <xf numFmtId="178" fontId="5" fillId="4" borderId="1" xfId="0" applyNumberFormat="1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4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H50"/>
  <sheetViews>
    <sheetView workbookViewId="0">
      <selection sqref="A1:H1"/>
    </sheetView>
  </sheetViews>
  <sheetFormatPr baseColWidth="10" defaultColWidth="9" defaultRowHeight="14"/>
  <cols>
    <col min="1" max="1" width="32" customWidth="1"/>
    <col min="2" max="8" width="18" customWidth="1"/>
  </cols>
  <sheetData>
    <row r="1" spans="1:8" ht="20.5" customHeight="1">
      <c r="A1" s="38" t="s">
        <v>0</v>
      </c>
      <c r="B1" s="35"/>
      <c r="C1" s="35"/>
      <c r="D1" s="35"/>
      <c r="E1" s="35"/>
      <c r="F1" s="35"/>
      <c r="G1" s="35"/>
      <c r="H1" s="36"/>
    </row>
    <row r="2" spans="1:8">
      <c r="A2" s="39" t="s">
        <v>1</v>
      </c>
      <c r="B2" s="35"/>
      <c r="C2" s="35"/>
      <c r="D2" s="35"/>
      <c r="E2" s="35"/>
      <c r="F2" s="35"/>
      <c r="G2" s="35"/>
      <c r="H2" s="36"/>
    </row>
    <row r="4" spans="1:8" ht="17.5" customHeight="1">
      <c r="A4" s="34" t="s">
        <v>2</v>
      </c>
      <c r="B4" s="35"/>
      <c r="C4" s="35"/>
      <c r="D4" s="35"/>
      <c r="E4" s="35"/>
      <c r="F4" s="35"/>
      <c r="G4" s="35"/>
      <c r="H4" s="36"/>
    </row>
    <row r="5" spans="1:8">
      <c r="A5" s="37" t="s">
        <v>3</v>
      </c>
      <c r="B5" s="35"/>
      <c r="C5" s="35"/>
      <c r="D5" s="35"/>
      <c r="E5" s="35"/>
      <c r="F5" s="35"/>
      <c r="G5" s="35"/>
      <c r="H5" s="36"/>
    </row>
    <row r="6" spans="1:8">
      <c r="A6" s="37" t="s">
        <v>4</v>
      </c>
      <c r="B6" s="35"/>
      <c r="C6" s="35"/>
      <c r="D6" s="35"/>
      <c r="E6" s="35"/>
      <c r="F6" s="35"/>
      <c r="G6" s="35"/>
      <c r="H6" s="36"/>
    </row>
    <row r="7" spans="1:8">
      <c r="A7" s="37" t="s">
        <v>5</v>
      </c>
      <c r="B7" s="35"/>
      <c r="C7" s="35"/>
      <c r="D7" s="35"/>
      <c r="E7" s="35"/>
      <c r="F7" s="35"/>
      <c r="G7" s="35"/>
      <c r="H7" s="36"/>
    </row>
    <row r="9" spans="1:8" ht="17.5" customHeight="1">
      <c r="A9" s="34" t="s">
        <v>6</v>
      </c>
      <c r="B9" s="35"/>
      <c r="C9" s="35"/>
      <c r="D9" s="35"/>
      <c r="E9" s="35"/>
      <c r="F9" s="35"/>
      <c r="G9" s="35"/>
      <c r="H9" s="36"/>
    </row>
    <row r="10" spans="1:8">
      <c r="A10" s="37" t="s">
        <v>7</v>
      </c>
      <c r="B10" s="35"/>
      <c r="C10" s="35"/>
      <c r="D10" s="35"/>
      <c r="E10" s="35"/>
      <c r="F10" s="35"/>
      <c r="G10" s="35"/>
      <c r="H10" s="36"/>
    </row>
    <row r="11" spans="1:8">
      <c r="A11" s="37" t="s">
        <v>8</v>
      </c>
      <c r="B11" s="35"/>
      <c r="C11" s="35"/>
      <c r="D11" s="35"/>
      <c r="E11" s="35"/>
      <c r="F11" s="35"/>
      <c r="G11" s="35"/>
      <c r="H11" s="36"/>
    </row>
    <row r="12" spans="1:8">
      <c r="A12" s="37" t="s">
        <v>9</v>
      </c>
      <c r="B12" s="35"/>
      <c r="C12" s="35"/>
      <c r="D12" s="35"/>
      <c r="E12" s="35"/>
      <c r="F12" s="35"/>
      <c r="G12" s="35"/>
      <c r="H12" s="36"/>
    </row>
    <row r="13" spans="1:8">
      <c r="A13" s="37" t="s">
        <v>10</v>
      </c>
      <c r="B13" s="35"/>
      <c r="C13" s="35"/>
      <c r="D13" s="35"/>
      <c r="E13" s="35"/>
      <c r="F13" s="35"/>
      <c r="G13" s="35"/>
      <c r="H13" s="36"/>
    </row>
    <row r="14" spans="1:8">
      <c r="A14" s="37" t="s">
        <v>11</v>
      </c>
      <c r="B14" s="35"/>
      <c r="C14" s="35"/>
      <c r="D14" s="35"/>
      <c r="E14" s="35"/>
      <c r="F14" s="35"/>
      <c r="G14" s="35"/>
      <c r="H14" s="36"/>
    </row>
    <row r="15" spans="1:8">
      <c r="A15" s="37" t="s">
        <v>12</v>
      </c>
      <c r="B15" s="35"/>
      <c r="C15" s="35"/>
      <c r="D15" s="35"/>
      <c r="E15" s="35"/>
      <c r="F15" s="35"/>
      <c r="G15" s="35"/>
      <c r="H15" s="36"/>
    </row>
    <row r="16" spans="1:8">
      <c r="A16" s="37" t="s">
        <v>13</v>
      </c>
      <c r="B16" s="35"/>
      <c r="C16" s="35"/>
      <c r="D16" s="35"/>
      <c r="E16" s="35"/>
      <c r="F16" s="35"/>
      <c r="G16" s="35"/>
      <c r="H16" s="36"/>
    </row>
    <row r="17" spans="1:8" ht="17.5" customHeight="1">
      <c r="A17" s="34" t="s">
        <v>14</v>
      </c>
      <c r="B17" s="35"/>
      <c r="C17" s="35"/>
      <c r="D17" s="35"/>
      <c r="E17" s="35"/>
      <c r="F17" s="35"/>
      <c r="G17" s="35"/>
      <c r="H17" s="36"/>
    </row>
    <row r="18" spans="1:8" ht="17" customHeight="1">
      <c r="A18" s="1" t="s">
        <v>15</v>
      </c>
      <c r="B18" s="31" t="s">
        <v>16</v>
      </c>
      <c r="C18" s="32" t="s">
        <v>17</v>
      </c>
      <c r="D18" s="33" t="s">
        <v>18</v>
      </c>
    </row>
    <row r="19" spans="1:8" ht="17" customHeight="1">
      <c r="A19" s="3" t="s">
        <v>19</v>
      </c>
      <c r="B19" s="2" t="s">
        <v>20</v>
      </c>
      <c r="C19" s="2" t="s">
        <v>20</v>
      </c>
      <c r="D19" s="2" t="s">
        <v>20</v>
      </c>
    </row>
    <row r="20" spans="1:8" ht="17" customHeight="1">
      <c r="A20" s="3" t="s">
        <v>21</v>
      </c>
      <c r="B20" s="2" t="s">
        <v>22</v>
      </c>
      <c r="C20" s="2" t="s">
        <v>22</v>
      </c>
      <c r="D20" s="2" t="s">
        <v>22</v>
      </c>
    </row>
    <row r="21" spans="1:8" ht="17" customHeight="1">
      <c r="A21" s="3" t="s">
        <v>23</v>
      </c>
      <c r="B21" s="2" t="s">
        <v>24</v>
      </c>
      <c r="C21" s="2" t="s">
        <v>25</v>
      </c>
      <c r="D21" s="2" t="s">
        <v>26</v>
      </c>
    </row>
    <row r="22" spans="1:8" ht="17" customHeight="1">
      <c r="A22" s="3" t="s">
        <v>27</v>
      </c>
      <c r="B22" s="2" t="s">
        <v>28</v>
      </c>
      <c r="C22" s="2" t="s">
        <v>29</v>
      </c>
      <c r="D22" s="2" t="s">
        <v>30</v>
      </c>
    </row>
    <row r="23" spans="1:8" ht="17" customHeight="1">
      <c r="A23" s="3" t="s">
        <v>31</v>
      </c>
      <c r="B23" s="2" t="s">
        <v>32</v>
      </c>
      <c r="C23" s="2" t="s">
        <v>33</v>
      </c>
      <c r="D23" s="2" t="s">
        <v>34</v>
      </c>
    </row>
    <row r="24" spans="1:8" ht="17" customHeight="1">
      <c r="A24" s="3" t="s">
        <v>35</v>
      </c>
      <c r="B24" s="2" t="s">
        <v>36</v>
      </c>
      <c r="C24" s="2" t="s">
        <v>37</v>
      </c>
      <c r="D24" s="2" t="s">
        <v>38</v>
      </c>
    </row>
    <row r="25" spans="1:8" ht="17" customHeight="1">
      <c r="A25" s="3" t="s">
        <v>39</v>
      </c>
      <c r="B25" s="2" t="s">
        <v>40</v>
      </c>
      <c r="C25" s="2" t="s">
        <v>41</v>
      </c>
      <c r="D25" s="2" t="s">
        <v>42</v>
      </c>
    </row>
    <row r="27" spans="1:8" ht="17.5" customHeight="1">
      <c r="A27" s="34" t="s">
        <v>43</v>
      </c>
      <c r="B27" s="35"/>
      <c r="C27" s="35"/>
      <c r="D27" s="35"/>
      <c r="E27" s="35"/>
      <c r="F27" s="35"/>
      <c r="G27" s="35"/>
      <c r="H27" s="36"/>
    </row>
    <row r="28" spans="1:8" ht="17" customHeight="1">
      <c r="A28" s="3" t="s">
        <v>44</v>
      </c>
      <c r="B28" s="24" t="s">
        <v>45</v>
      </c>
      <c r="C28" s="3" t="s">
        <v>46</v>
      </c>
      <c r="D28" s="24" t="s">
        <v>47</v>
      </c>
    </row>
    <row r="29" spans="1:8" ht="17" customHeight="1">
      <c r="A29" s="3" t="s">
        <v>48</v>
      </c>
      <c r="B29" s="24" t="s">
        <v>49</v>
      </c>
      <c r="C29" s="3" t="s">
        <v>50</v>
      </c>
      <c r="D29" s="24" t="s">
        <v>51</v>
      </c>
    </row>
    <row r="30" spans="1:8" ht="17" customHeight="1">
      <c r="A30" s="3" t="s">
        <v>52</v>
      </c>
      <c r="B30" s="24" t="s">
        <v>53</v>
      </c>
      <c r="C30" s="3" t="s">
        <v>54</v>
      </c>
      <c r="D30" s="24" t="s">
        <v>55</v>
      </c>
    </row>
    <row r="31" spans="1:8" ht="17" customHeight="1">
      <c r="A31" s="3" t="s">
        <v>56</v>
      </c>
      <c r="B31" s="24" t="s">
        <v>57</v>
      </c>
      <c r="C31" s="3" t="s">
        <v>58</v>
      </c>
      <c r="D31" s="24" t="s">
        <v>59</v>
      </c>
    </row>
    <row r="32" spans="1:8" ht="17" customHeight="1">
      <c r="A32" s="3" t="s">
        <v>60</v>
      </c>
      <c r="B32" s="24" t="s">
        <v>61</v>
      </c>
      <c r="C32" s="3" t="s">
        <v>62</v>
      </c>
      <c r="D32" s="24" t="s">
        <v>63</v>
      </c>
    </row>
    <row r="33" spans="1:8" ht="17" customHeight="1">
      <c r="A33" s="3" t="s">
        <v>64</v>
      </c>
      <c r="B33" s="24" t="s">
        <v>65</v>
      </c>
      <c r="C33" s="3" t="s">
        <v>66</v>
      </c>
      <c r="D33" s="24" t="s">
        <v>67</v>
      </c>
    </row>
    <row r="34" spans="1:8" ht="31" customHeight="1">
      <c r="A34" s="3" t="s">
        <v>68</v>
      </c>
      <c r="B34" s="24" t="s">
        <v>69</v>
      </c>
      <c r="C34" s="3" t="s">
        <v>70</v>
      </c>
      <c r="D34" s="24" t="s">
        <v>71</v>
      </c>
    </row>
    <row r="35" spans="1:8" ht="31" customHeight="1">
      <c r="C35" s="3" t="s">
        <v>72</v>
      </c>
      <c r="D35" s="24" t="s">
        <v>73</v>
      </c>
    </row>
    <row r="36" spans="1:8" ht="31" customHeight="1">
      <c r="C36" s="3" t="s">
        <v>74</v>
      </c>
      <c r="D36" s="24" t="s">
        <v>75</v>
      </c>
    </row>
    <row r="37" spans="1:8" ht="31" customHeight="1">
      <c r="C37" s="3" t="s">
        <v>76</v>
      </c>
      <c r="D37" s="24" t="s">
        <v>67</v>
      </c>
    </row>
    <row r="38" spans="1:8" ht="31" customHeight="1">
      <c r="C38" s="3" t="s">
        <v>77</v>
      </c>
      <c r="D38" s="24" t="s">
        <v>78</v>
      </c>
    </row>
    <row r="39" spans="1:8" ht="31" customHeight="1">
      <c r="C39" s="3" t="s">
        <v>79</v>
      </c>
      <c r="D39" s="24" t="s">
        <v>80</v>
      </c>
    </row>
    <row r="40" spans="1:8" ht="31" customHeight="1">
      <c r="C40" s="3" t="s">
        <v>81</v>
      </c>
      <c r="D40" s="24" t="s">
        <v>82</v>
      </c>
    </row>
    <row r="41" spans="1:8" ht="31" customHeight="1">
      <c r="C41" s="3" t="s">
        <v>83</v>
      </c>
      <c r="D41" s="24" t="s">
        <v>84</v>
      </c>
    </row>
    <row r="43" spans="1:8" ht="17.5" customHeight="1">
      <c r="A43" s="34" t="s">
        <v>85</v>
      </c>
      <c r="B43" s="35"/>
      <c r="C43" s="35"/>
      <c r="D43" s="35"/>
      <c r="E43" s="35"/>
      <c r="F43" s="35"/>
      <c r="G43" s="35"/>
      <c r="H43" s="36"/>
    </row>
    <row r="44" spans="1:8" ht="31" customHeight="1">
      <c r="A44" s="2" t="s">
        <v>86</v>
      </c>
      <c r="B44" s="2" t="s">
        <v>87</v>
      </c>
      <c r="C44" s="37" t="s">
        <v>88</v>
      </c>
      <c r="D44" s="35"/>
      <c r="E44" s="35"/>
      <c r="F44" s="35"/>
      <c r="G44" s="35"/>
      <c r="H44" s="36"/>
    </row>
    <row r="45" spans="1:8" ht="17" customHeight="1">
      <c r="A45" s="2" t="s">
        <v>89</v>
      </c>
      <c r="B45" s="2" t="s">
        <v>90</v>
      </c>
      <c r="C45" s="37" t="s">
        <v>91</v>
      </c>
      <c r="D45" s="35"/>
      <c r="E45" s="35"/>
      <c r="F45" s="35"/>
      <c r="G45" s="35"/>
      <c r="H45" s="36"/>
    </row>
    <row r="46" spans="1:8" ht="17" customHeight="1">
      <c r="A46" s="2" t="s">
        <v>92</v>
      </c>
      <c r="B46" s="2" t="s">
        <v>93</v>
      </c>
      <c r="C46" s="37" t="s">
        <v>94</v>
      </c>
      <c r="D46" s="35"/>
      <c r="E46" s="35"/>
      <c r="F46" s="35"/>
      <c r="G46" s="35"/>
      <c r="H46" s="36"/>
    </row>
    <row r="47" spans="1:8" ht="17" customHeight="1">
      <c r="A47" s="2" t="s">
        <v>95</v>
      </c>
      <c r="B47" s="2" t="s">
        <v>96</v>
      </c>
      <c r="C47" s="37" t="s">
        <v>97</v>
      </c>
      <c r="D47" s="35"/>
      <c r="E47" s="35"/>
      <c r="F47" s="35"/>
      <c r="G47" s="35"/>
      <c r="H47" s="36"/>
    </row>
    <row r="48" spans="1:8" ht="17" customHeight="1">
      <c r="A48" s="2" t="s">
        <v>98</v>
      </c>
      <c r="B48" s="2" t="s">
        <v>99</v>
      </c>
      <c r="C48" s="37" t="s">
        <v>100</v>
      </c>
      <c r="D48" s="35"/>
      <c r="E48" s="35"/>
      <c r="F48" s="35"/>
      <c r="G48" s="35"/>
      <c r="H48" s="36"/>
    </row>
    <row r="49" spans="1:8" ht="17" customHeight="1">
      <c r="A49" s="2" t="s">
        <v>101</v>
      </c>
      <c r="B49" s="2" t="s">
        <v>102</v>
      </c>
      <c r="C49" s="37" t="s">
        <v>103</v>
      </c>
      <c r="D49" s="35"/>
      <c r="E49" s="35"/>
      <c r="F49" s="35"/>
      <c r="G49" s="35"/>
      <c r="H49" s="36"/>
    </row>
    <row r="50" spans="1:8" ht="17" customHeight="1">
      <c r="A50" s="2" t="s">
        <v>104</v>
      </c>
      <c r="B50" s="2" t="s">
        <v>105</v>
      </c>
      <c r="C50" s="37" t="s">
        <v>106</v>
      </c>
      <c r="D50" s="35"/>
      <c r="E50" s="35"/>
      <c r="F50" s="35"/>
      <c r="G50" s="35"/>
      <c r="H50" s="36"/>
    </row>
  </sheetData>
  <mergeCells count="24">
    <mergeCell ref="A1:H1"/>
    <mergeCell ref="A6:H6"/>
    <mergeCell ref="C46:H46"/>
    <mergeCell ref="A7:H7"/>
    <mergeCell ref="A16:H16"/>
    <mergeCell ref="A27:H27"/>
    <mergeCell ref="A12:H12"/>
    <mergeCell ref="A2:H2"/>
    <mergeCell ref="A14:H14"/>
    <mergeCell ref="A5:H5"/>
    <mergeCell ref="A17:H17"/>
    <mergeCell ref="A4:H4"/>
    <mergeCell ref="A43:H43"/>
    <mergeCell ref="A10:H10"/>
    <mergeCell ref="C45:H45"/>
    <mergeCell ref="A13:H13"/>
    <mergeCell ref="A9:H9"/>
    <mergeCell ref="C47:H47"/>
    <mergeCell ref="A15:H15"/>
    <mergeCell ref="C50:H50"/>
    <mergeCell ref="C44:H44"/>
    <mergeCell ref="A11:H11"/>
    <mergeCell ref="C48:H48"/>
    <mergeCell ref="C49:H49"/>
  </mergeCells>
  <phoneticPr fontId="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48235"/>
  </sheetPr>
  <dimension ref="A1:AQ65"/>
  <sheetViews>
    <sheetView workbookViewId="0">
      <selection activeCell="A12" sqref="A12:AM12"/>
    </sheetView>
  </sheetViews>
  <sheetFormatPr baseColWidth="10" defaultColWidth="9" defaultRowHeight="14"/>
  <cols>
    <col min="1" max="1" width="35" customWidth="1"/>
    <col min="2" max="2" width="28" customWidth="1"/>
    <col min="3" max="39" width="14" customWidth="1"/>
    <col min="42" max="42" width="28" customWidth="1"/>
    <col min="43" max="43" width="16" customWidth="1"/>
  </cols>
  <sheetData>
    <row r="1" spans="1:43" ht="20.5" customHeight="1">
      <c r="A1" s="38" t="s">
        <v>107</v>
      </c>
      <c r="B1" s="35"/>
      <c r="C1" s="35"/>
      <c r="D1" s="35"/>
      <c r="E1" s="35"/>
      <c r="F1" s="35"/>
      <c r="G1" s="35"/>
      <c r="H1" s="35"/>
      <c r="I1" s="35"/>
      <c r="J1" s="36"/>
    </row>
    <row r="2" spans="1:43">
      <c r="A2" s="39" t="s">
        <v>108</v>
      </c>
      <c r="B2" s="35"/>
      <c r="C2" s="35"/>
      <c r="D2" s="35"/>
      <c r="E2" s="35"/>
      <c r="F2" s="35"/>
      <c r="G2" s="35"/>
      <c r="H2" s="35"/>
      <c r="I2" s="35"/>
      <c r="J2" s="36"/>
    </row>
    <row r="4" spans="1:43" ht="17" customHeight="1">
      <c r="A4" s="1" t="s">
        <v>15</v>
      </c>
      <c r="B4" s="1" t="s">
        <v>109</v>
      </c>
      <c r="C4" s="1">
        <v>2024</v>
      </c>
      <c r="D4" s="1">
        <v>2025</v>
      </c>
      <c r="E4" s="1">
        <v>2026</v>
      </c>
      <c r="F4" s="1">
        <v>2027</v>
      </c>
      <c r="G4" s="1">
        <v>2028</v>
      </c>
      <c r="H4" s="1">
        <v>2029</v>
      </c>
      <c r="I4" s="1">
        <v>2030</v>
      </c>
      <c r="J4" s="1">
        <v>2031</v>
      </c>
      <c r="K4" s="1">
        <v>2032</v>
      </c>
      <c r="L4" s="1">
        <v>2033</v>
      </c>
      <c r="M4" s="1">
        <v>2034</v>
      </c>
      <c r="N4" s="1">
        <v>2035</v>
      </c>
      <c r="O4" s="1">
        <v>2036</v>
      </c>
      <c r="P4" s="1">
        <v>2037</v>
      </c>
      <c r="Q4" s="1">
        <v>2038</v>
      </c>
      <c r="R4" s="1">
        <v>2039</v>
      </c>
      <c r="S4" s="1">
        <v>2040</v>
      </c>
      <c r="T4" s="1">
        <v>2041</v>
      </c>
      <c r="U4" s="1">
        <v>2042</v>
      </c>
      <c r="V4" s="1">
        <v>2043</v>
      </c>
      <c r="W4" s="1">
        <v>2044</v>
      </c>
      <c r="X4" s="1">
        <v>2045</v>
      </c>
      <c r="Y4" s="1">
        <v>2046</v>
      </c>
      <c r="Z4" s="1">
        <v>2047</v>
      </c>
      <c r="AA4" s="1">
        <v>2048</v>
      </c>
      <c r="AB4" s="1">
        <v>2049</v>
      </c>
      <c r="AC4" s="1">
        <v>2050</v>
      </c>
      <c r="AD4" s="1">
        <v>2051</v>
      </c>
      <c r="AE4" s="1">
        <v>2052</v>
      </c>
      <c r="AF4" s="1">
        <v>2053</v>
      </c>
      <c r="AG4" s="1">
        <v>2054</v>
      </c>
      <c r="AH4" s="1">
        <v>2055</v>
      </c>
      <c r="AI4" s="1">
        <v>2056</v>
      </c>
      <c r="AJ4" s="1">
        <v>2057</v>
      </c>
      <c r="AK4" s="1">
        <v>2058</v>
      </c>
      <c r="AL4" s="1">
        <v>2059</v>
      </c>
      <c r="AM4" s="1">
        <v>2060</v>
      </c>
      <c r="AP4" s="41" t="s">
        <v>110</v>
      </c>
      <c r="AQ4" s="36"/>
    </row>
    <row r="5" spans="1:43" ht="17.5" customHeight="1">
      <c r="A5" s="34" t="s">
        <v>111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6"/>
      <c r="AP5" s="1" t="s">
        <v>112</v>
      </c>
      <c r="AQ5" s="1" t="s">
        <v>113</v>
      </c>
    </row>
    <row r="6" spans="1:43" ht="17" customHeight="1">
      <c r="A6" s="14" t="s">
        <v>114</v>
      </c>
      <c r="B6" s="7" t="s">
        <v>115</v>
      </c>
      <c r="C6" s="15">
        <v>4.9000000000000004</v>
      </c>
      <c r="D6" s="15">
        <v>4.5</v>
      </c>
      <c r="E6" s="15">
        <v>4.3</v>
      </c>
      <c r="F6" s="15">
        <v>4.0999999999999996</v>
      </c>
      <c r="G6" s="15">
        <v>3.9</v>
      </c>
      <c r="H6" s="15">
        <v>3.7</v>
      </c>
      <c r="I6" s="15">
        <v>3.5</v>
      </c>
      <c r="J6" s="15">
        <v>3.3</v>
      </c>
      <c r="K6" s="15">
        <v>3.1</v>
      </c>
      <c r="L6" s="15">
        <v>3</v>
      </c>
      <c r="M6" s="15">
        <v>2.8</v>
      </c>
      <c r="N6" s="15">
        <v>2.7</v>
      </c>
      <c r="O6" s="15">
        <v>2.5</v>
      </c>
      <c r="P6" s="15">
        <v>2.4</v>
      </c>
      <c r="Q6" s="15">
        <v>2.2000000000000002</v>
      </c>
      <c r="R6" s="15">
        <v>2.1</v>
      </c>
      <c r="S6" s="15">
        <v>2</v>
      </c>
      <c r="T6" s="15">
        <v>1.8</v>
      </c>
      <c r="U6" s="15">
        <v>1.7</v>
      </c>
      <c r="V6" s="15">
        <v>1.6</v>
      </c>
      <c r="W6" s="15">
        <v>1.5</v>
      </c>
      <c r="X6" s="15">
        <v>1.5</v>
      </c>
      <c r="Y6" s="15">
        <v>1.3</v>
      </c>
      <c r="Z6" s="15">
        <v>1.2</v>
      </c>
      <c r="AA6" s="15">
        <v>1.1000000000000001</v>
      </c>
      <c r="AB6" s="15">
        <v>1</v>
      </c>
      <c r="AC6" s="15">
        <v>1</v>
      </c>
      <c r="AD6" s="15">
        <v>0.8</v>
      </c>
      <c r="AE6" s="15">
        <v>0.7</v>
      </c>
      <c r="AF6" s="15">
        <v>0.6</v>
      </c>
      <c r="AG6" s="15">
        <v>0.6</v>
      </c>
      <c r="AH6" s="15">
        <v>0.5</v>
      </c>
      <c r="AI6" s="15">
        <v>0.4</v>
      </c>
      <c r="AJ6" s="15">
        <v>0.4</v>
      </c>
      <c r="AK6" s="15">
        <v>0.3</v>
      </c>
      <c r="AL6" s="15">
        <v>0.3</v>
      </c>
      <c r="AM6" s="15">
        <v>0.2</v>
      </c>
      <c r="AP6" s="3" t="s">
        <v>44</v>
      </c>
      <c r="AQ6" s="30" t="s">
        <v>45</v>
      </c>
    </row>
    <row r="7" spans="1:43" ht="17" customHeight="1">
      <c r="A7" s="14" t="s">
        <v>116</v>
      </c>
      <c r="B7" s="7" t="s">
        <v>117</v>
      </c>
      <c r="C7" s="16">
        <v>124.92</v>
      </c>
      <c r="D7" s="16">
        <v>130.54</v>
      </c>
      <c r="E7" s="16">
        <v>135.627666872074</v>
      </c>
      <c r="F7" s="16">
        <v>140.91362050836801</v>
      </c>
      <c r="G7" s="16">
        <v>146.40558893861501</v>
      </c>
      <c r="H7" s="16">
        <v>152.11160138483399</v>
      </c>
      <c r="I7" s="16">
        <v>158.04</v>
      </c>
      <c r="J7" s="16">
        <v>162.74890406345801</v>
      </c>
      <c r="K7" s="16">
        <v>167.59811297049299</v>
      </c>
      <c r="L7" s="16">
        <v>172.59180719470601</v>
      </c>
      <c r="M7" s="16">
        <v>177.73429176961599</v>
      </c>
      <c r="N7" s="16">
        <v>183.03</v>
      </c>
      <c r="O7" s="16">
        <v>187.13014028519899</v>
      </c>
      <c r="P7" s="16">
        <v>191.32212972276901</v>
      </c>
      <c r="Q7" s="16">
        <v>195.60802586835399</v>
      </c>
      <c r="R7" s="16">
        <v>199.989932369863</v>
      </c>
      <c r="S7" s="16">
        <v>204.47</v>
      </c>
      <c r="T7" s="16">
        <v>207.27265600972399</v>
      </c>
      <c r="U7" s="16">
        <v>210.113727829635</v>
      </c>
      <c r="V7" s="16">
        <v>212.99374202255899</v>
      </c>
      <c r="W7" s="16">
        <v>215.913232368884</v>
      </c>
      <c r="X7" s="16">
        <v>218.87273996548799</v>
      </c>
      <c r="Y7" s="16">
        <v>221.87281332602501</v>
      </c>
      <c r="Z7" s="16">
        <v>224.914008482589</v>
      </c>
      <c r="AA7" s="16">
        <v>227.99688908876499</v>
      </c>
      <c r="AB7" s="16">
        <v>231.12202652409999</v>
      </c>
      <c r="AC7" s="16">
        <v>234.29</v>
      </c>
      <c r="AD7" s="16">
        <v>235.41536136498999</v>
      </c>
      <c r="AE7" s="16">
        <v>236.546128160009</v>
      </c>
      <c r="AF7" s="16">
        <v>237.682326348874</v>
      </c>
      <c r="AG7" s="16">
        <v>238.82398202011001</v>
      </c>
      <c r="AH7" s="16">
        <v>239.97112138755401</v>
      </c>
      <c r="AI7" s="16">
        <v>241.12377079095401</v>
      </c>
      <c r="AJ7" s="16">
        <v>242.28195669657899</v>
      </c>
      <c r="AK7" s="16">
        <v>243.445705697818</v>
      </c>
      <c r="AL7" s="16">
        <v>244.61504451580001</v>
      </c>
      <c r="AM7" s="16">
        <v>245.79</v>
      </c>
      <c r="AP7" s="3" t="s">
        <v>48</v>
      </c>
      <c r="AQ7" s="30" t="s">
        <v>49</v>
      </c>
    </row>
    <row r="8" spans="1:43" ht="17" customHeight="1">
      <c r="A8" s="14" t="s">
        <v>118</v>
      </c>
      <c r="B8" s="7" t="s">
        <v>119</v>
      </c>
      <c r="C8" s="16">
        <v>14.08</v>
      </c>
      <c r="D8" s="16">
        <v>14.08</v>
      </c>
      <c r="E8" s="16">
        <v>14.0539034418663</v>
      </c>
      <c r="F8" s="16">
        <v>14.0278552523652</v>
      </c>
      <c r="G8" s="16">
        <v>14.0018553418479</v>
      </c>
      <c r="H8" s="16">
        <v>13.975903620831801</v>
      </c>
      <c r="I8" s="16">
        <v>13.95</v>
      </c>
      <c r="J8" s="16">
        <v>13.9097686160443</v>
      </c>
      <c r="K8" s="16">
        <v>13.8696532582</v>
      </c>
      <c r="L8" s="16">
        <v>13.8296535918514</v>
      </c>
      <c r="M8" s="16">
        <v>13.789769283347599</v>
      </c>
      <c r="N8" s="16">
        <v>13.75</v>
      </c>
      <c r="O8" s="16">
        <v>13.6996323454979</v>
      </c>
      <c r="P8" s="16">
        <v>13.6494491928591</v>
      </c>
      <c r="Q8" s="16">
        <v>13.5994498662344</v>
      </c>
      <c r="R8" s="16">
        <v>13.5496336922503</v>
      </c>
      <c r="S8" s="16">
        <v>13.5</v>
      </c>
      <c r="T8" s="16">
        <v>13.434592209784</v>
      </c>
      <c r="U8" s="16">
        <v>13.3695013217176</v>
      </c>
      <c r="V8" s="16">
        <v>13.3047258004033</v>
      </c>
      <c r="W8" s="16">
        <v>13.2402641178822</v>
      </c>
      <c r="X8" s="16">
        <v>13.1761147535987</v>
      </c>
      <c r="Y8" s="16">
        <v>13.1122761943641</v>
      </c>
      <c r="Z8" s="16">
        <v>13.0487469343215</v>
      </c>
      <c r="AA8" s="16">
        <v>12.985525474909499</v>
      </c>
      <c r="AB8" s="16">
        <v>12.922610324827399</v>
      </c>
      <c r="AC8" s="16">
        <v>12.86</v>
      </c>
      <c r="AD8" s="16">
        <v>12.782955764494099</v>
      </c>
      <c r="AE8" s="16">
        <v>12.7063731008563</v>
      </c>
      <c r="AF8" s="16">
        <v>12.6302492438105</v>
      </c>
      <c r="AG8" s="16">
        <v>12.554581444647299</v>
      </c>
      <c r="AH8" s="16">
        <v>12.479366971124801</v>
      </c>
      <c r="AI8" s="16">
        <v>12.4046031073698</v>
      </c>
      <c r="AJ8" s="16">
        <v>12.330287153780301</v>
      </c>
      <c r="AK8" s="16">
        <v>12.2564164269271</v>
      </c>
      <c r="AL8" s="16">
        <v>12.182988259457799</v>
      </c>
      <c r="AM8" s="16">
        <v>12.11</v>
      </c>
      <c r="AP8" s="3" t="s">
        <v>52</v>
      </c>
      <c r="AQ8" s="30" t="s">
        <v>53</v>
      </c>
    </row>
    <row r="9" spans="1:43" ht="17" customHeight="1">
      <c r="A9" s="14" t="s">
        <v>120</v>
      </c>
      <c r="B9" s="7" t="s">
        <v>121</v>
      </c>
      <c r="C9" s="16">
        <v>106.5</v>
      </c>
      <c r="D9" s="16">
        <v>108</v>
      </c>
      <c r="E9" s="16">
        <v>110</v>
      </c>
      <c r="F9" s="16">
        <v>112</v>
      </c>
      <c r="G9" s="16">
        <v>115</v>
      </c>
      <c r="H9" s="16">
        <v>117</v>
      </c>
      <c r="I9" s="16">
        <v>118</v>
      </c>
      <c r="J9" s="16">
        <v>117</v>
      </c>
      <c r="K9" s="16">
        <v>115.5</v>
      </c>
      <c r="L9" s="16">
        <v>113.5</v>
      </c>
      <c r="M9" s="16">
        <v>111</v>
      </c>
      <c r="N9" s="16">
        <v>109</v>
      </c>
      <c r="O9" s="16">
        <v>106.5</v>
      </c>
      <c r="P9" s="16">
        <v>103.5</v>
      </c>
      <c r="Q9" s="16">
        <v>100</v>
      </c>
      <c r="R9" s="16">
        <v>96</v>
      </c>
      <c r="S9" s="16">
        <v>92</v>
      </c>
      <c r="T9" s="16">
        <v>87.5</v>
      </c>
      <c r="U9" s="16">
        <v>83</v>
      </c>
      <c r="V9" s="16">
        <v>78.5</v>
      </c>
      <c r="W9" s="16">
        <v>74</v>
      </c>
      <c r="X9" s="16">
        <v>69.5</v>
      </c>
      <c r="Y9" s="16">
        <v>65</v>
      </c>
      <c r="Z9" s="16">
        <v>60.5</v>
      </c>
      <c r="AA9" s="16">
        <v>56</v>
      </c>
      <c r="AB9" s="16">
        <v>51.5</v>
      </c>
      <c r="AC9" s="16">
        <v>47</v>
      </c>
      <c r="AD9" s="16">
        <v>43</v>
      </c>
      <c r="AE9" s="16">
        <v>39</v>
      </c>
      <c r="AF9" s="16">
        <v>35.5</v>
      </c>
      <c r="AG9" s="16">
        <v>32</v>
      </c>
      <c r="AH9" s="16">
        <v>29</v>
      </c>
      <c r="AI9" s="16">
        <v>26.5</v>
      </c>
      <c r="AJ9" s="16">
        <v>24.5</v>
      </c>
      <c r="AK9" s="16">
        <v>23</v>
      </c>
      <c r="AL9" s="16">
        <v>22</v>
      </c>
      <c r="AM9" s="16">
        <v>21</v>
      </c>
      <c r="AP9" s="3" t="s">
        <v>56</v>
      </c>
      <c r="AQ9" s="30" t="s">
        <v>57</v>
      </c>
    </row>
    <row r="10" spans="1:43" ht="28" customHeight="1">
      <c r="A10" s="14" t="s">
        <v>122</v>
      </c>
      <c r="B10" s="7" t="s">
        <v>123</v>
      </c>
      <c r="C10" s="17">
        <v>1.85</v>
      </c>
      <c r="D10" s="17">
        <v>1.8851500000000001</v>
      </c>
      <c r="E10" s="17">
        <v>1.87572425</v>
      </c>
      <c r="F10" s="17">
        <v>1.8607184560000001</v>
      </c>
      <c r="G10" s="17">
        <v>1.8421112714400001</v>
      </c>
      <c r="H10" s="17">
        <v>1.8200059361827201</v>
      </c>
      <c r="I10" s="17">
        <v>1.7927058471399799</v>
      </c>
      <c r="J10" s="17">
        <v>1.76581525943288</v>
      </c>
      <c r="K10" s="17">
        <v>1.7393280305413901</v>
      </c>
      <c r="L10" s="17">
        <v>1.7132381100832601</v>
      </c>
      <c r="M10" s="17">
        <v>1.68753953843202</v>
      </c>
      <c r="N10" s="17">
        <v>1.66222644535554</v>
      </c>
      <c r="O10" s="17">
        <v>1.64227972801127</v>
      </c>
      <c r="P10" s="17">
        <v>1.6225723712751301</v>
      </c>
      <c r="Q10" s="17">
        <v>1.6031015028198301</v>
      </c>
      <c r="R10" s="17">
        <v>1.5838642847859901</v>
      </c>
      <c r="S10" s="17">
        <v>1.56802564193814</v>
      </c>
      <c r="T10" s="17">
        <v>1.5523453855187499</v>
      </c>
      <c r="U10" s="17">
        <v>1.5368219316635701</v>
      </c>
      <c r="V10" s="17">
        <v>1.5214537123469301</v>
      </c>
      <c r="W10" s="17">
        <v>1.5092820826481499</v>
      </c>
      <c r="X10" s="17">
        <v>1.4972078259869701</v>
      </c>
      <c r="Y10" s="17">
        <v>1.4852301633790701</v>
      </c>
      <c r="Z10" s="17">
        <v>1.47334832207204</v>
      </c>
      <c r="AA10" s="17">
        <v>1.4645082321396099</v>
      </c>
      <c r="AB10" s="17">
        <v>1.45572118274677</v>
      </c>
      <c r="AC10" s="17">
        <v>1.4469868556502901</v>
      </c>
      <c r="AD10" s="17">
        <v>1.43975192137204</v>
      </c>
      <c r="AE10" s="17">
        <v>1.4325531617651801</v>
      </c>
      <c r="AF10" s="17">
        <v>1.4253903959563501</v>
      </c>
      <c r="AG10" s="17">
        <v>1.41826344397657</v>
      </c>
      <c r="AH10" s="17">
        <v>1.41259039020066</v>
      </c>
      <c r="AI10" s="17">
        <v>1.4069400286398599</v>
      </c>
      <c r="AJ10" s="17">
        <v>1.4013122685253001</v>
      </c>
      <c r="AK10" s="17">
        <v>1.3971083317197299</v>
      </c>
      <c r="AL10" s="17">
        <v>1.39291700672457</v>
      </c>
      <c r="AM10" s="17">
        <v>1.3887382557043899</v>
      </c>
    </row>
    <row r="11" spans="1:43" ht="17" customHeight="1">
      <c r="A11" s="2" t="s">
        <v>124</v>
      </c>
      <c r="B11" s="7" t="s">
        <v>125</v>
      </c>
      <c r="C11" s="15">
        <v>0</v>
      </c>
      <c r="D11" s="15">
        <v>1.9</v>
      </c>
      <c r="E11" s="15">
        <v>-0.5</v>
      </c>
      <c r="F11" s="15">
        <v>-0.8</v>
      </c>
      <c r="G11" s="15">
        <v>-1</v>
      </c>
      <c r="H11" s="15">
        <v>-1.2</v>
      </c>
      <c r="I11" s="15">
        <v>-1.5</v>
      </c>
      <c r="J11" s="15">
        <v>-1.5</v>
      </c>
      <c r="K11" s="15">
        <v>-1.5</v>
      </c>
      <c r="L11" s="15">
        <v>-1.5</v>
      </c>
      <c r="M11" s="15">
        <v>-1.5</v>
      </c>
      <c r="N11" s="15">
        <v>-1.5</v>
      </c>
      <c r="O11" s="15">
        <v>-1.2</v>
      </c>
      <c r="P11" s="15">
        <v>-1.2</v>
      </c>
      <c r="Q11" s="15">
        <v>-1.2</v>
      </c>
      <c r="R11" s="15">
        <v>-1.2</v>
      </c>
      <c r="S11" s="15">
        <v>-1</v>
      </c>
      <c r="T11" s="15">
        <v>-1</v>
      </c>
      <c r="U11" s="15">
        <v>-1</v>
      </c>
      <c r="V11" s="15">
        <v>-1</v>
      </c>
      <c r="W11" s="15">
        <v>-0.8</v>
      </c>
      <c r="X11" s="15">
        <v>-0.8</v>
      </c>
      <c r="Y11" s="15">
        <v>-0.8</v>
      </c>
      <c r="Z11" s="15">
        <v>-0.8</v>
      </c>
      <c r="AA11" s="15">
        <v>-0.6</v>
      </c>
      <c r="AB11" s="15">
        <v>-0.6</v>
      </c>
      <c r="AC11" s="15">
        <v>-0.6</v>
      </c>
      <c r="AD11" s="15">
        <v>-0.5</v>
      </c>
      <c r="AE11" s="15">
        <v>-0.5</v>
      </c>
      <c r="AF11" s="15">
        <v>-0.5</v>
      </c>
      <c r="AG11" s="15">
        <v>-0.5</v>
      </c>
      <c r="AH11" s="15">
        <v>-0.4</v>
      </c>
      <c r="AI11" s="15">
        <v>-0.4</v>
      </c>
      <c r="AJ11" s="15">
        <v>-0.4</v>
      </c>
      <c r="AK11" s="15">
        <v>-0.3</v>
      </c>
      <c r="AL11" s="15">
        <v>-0.3</v>
      </c>
      <c r="AM11" s="15">
        <v>-0.3</v>
      </c>
      <c r="AP11" s="40" t="s">
        <v>126</v>
      </c>
      <c r="AQ11" s="36"/>
    </row>
    <row r="12" spans="1:43" ht="17.5" customHeight="1">
      <c r="A12" s="34" t="s">
        <v>127</v>
      </c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6"/>
      <c r="AP12" s="3" t="s">
        <v>60</v>
      </c>
      <c r="AQ12" s="30" t="s">
        <v>61</v>
      </c>
    </row>
    <row r="13" spans="1:43" ht="17" customHeight="1">
      <c r="A13" s="14" t="s">
        <v>48</v>
      </c>
      <c r="B13" s="7" t="s">
        <v>128</v>
      </c>
      <c r="C13" s="18">
        <v>100509</v>
      </c>
      <c r="D13" s="18">
        <v>96081</v>
      </c>
      <c r="E13" s="18">
        <v>93000</v>
      </c>
      <c r="F13" s="18">
        <v>91000</v>
      </c>
      <c r="G13" s="18">
        <v>89000</v>
      </c>
      <c r="H13" s="18">
        <v>87000</v>
      </c>
      <c r="I13" s="18">
        <v>85000</v>
      </c>
      <c r="J13" s="18">
        <v>83500</v>
      </c>
      <c r="K13" s="18">
        <v>82000</v>
      </c>
      <c r="L13" s="18">
        <v>80800</v>
      </c>
      <c r="M13" s="18">
        <v>79600</v>
      </c>
      <c r="N13" s="18">
        <v>78500</v>
      </c>
      <c r="O13" s="18">
        <v>77500</v>
      </c>
      <c r="P13" s="18">
        <v>76500</v>
      </c>
      <c r="Q13" s="18">
        <v>75500</v>
      </c>
      <c r="R13" s="18">
        <v>74500</v>
      </c>
      <c r="S13" s="18">
        <v>73600</v>
      </c>
      <c r="T13" s="18">
        <v>72800</v>
      </c>
      <c r="U13" s="18">
        <v>72000</v>
      </c>
      <c r="V13" s="18">
        <v>71300</v>
      </c>
      <c r="W13" s="18">
        <v>70600</v>
      </c>
      <c r="X13" s="18">
        <v>69900</v>
      </c>
      <c r="Y13" s="18">
        <v>69300</v>
      </c>
      <c r="Z13" s="18">
        <v>68700</v>
      </c>
      <c r="AA13" s="18">
        <v>68200</v>
      </c>
      <c r="AB13" s="18">
        <v>67700</v>
      </c>
      <c r="AC13" s="18">
        <v>67200</v>
      </c>
      <c r="AD13" s="18">
        <v>66600</v>
      </c>
      <c r="AE13" s="18">
        <v>66000</v>
      </c>
      <c r="AF13" s="18">
        <v>65400</v>
      </c>
      <c r="AG13" s="18">
        <v>64800</v>
      </c>
      <c r="AH13" s="18">
        <v>64200</v>
      </c>
      <c r="AI13" s="18">
        <v>63600</v>
      </c>
      <c r="AJ13" s="18">
        <v>63000</v>
      </c>
      <c r="AK13" s="18">
        <v>62500</v>
      </c>
      <c r="AL13" s="18">
        <v>62000</v>
      </c>
      <c r="AM13" s="18">
        <v>61600</v>
      </c>
      <c r="AP13" s="3" t="s">
        <v>64</v>
      </c>
      <c r="AQ13" s="30" t="s">
        <v>65</v>
      </c>
    </row>
    <row r="14" spans="1:43" ht="17.5" customHeight="1">
      <c r="A14" s="34" t="s">
        <v>129</v>
      </c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6"/>
      <c r="AP14" s="3" t="s">
        <v>68</v>
      </c>
      <c r="AQ14" s="30" t="s">
        <v>69</v>
      </c>
    </row>
    <row r="15" spans="1:43" ht="17" customHeight="1">
      <c r="A15" s="14" t="s">
        <v>64</v>
      </c>
      <c r="B15" s="7" t="s">
        <v>130</v>
      </c>
      <c r="C15" s="15">
        <v>10</v>
      </c>
      <c r="D15" s="15">
        <v>10.66666666666667</v>
      </c>
      <c r="E15" s="15">
        <v>11.33333333333333</v>
      </c>
      <c r="F15" s="15">
        <v>12</v>
      </c>
      <c r="G15" s="15">
        <v>12.66666666666667</v>
      </c>
      <c r="H15" s="15">
        <v>13.33333333333333</v>
      </c>
      <c r="I15" s="15">
        <v>14</v>
      </c>
      <c r="J15" s="15">
        <v>15.2</v>
      </c>
      <c r="K15" s="15">
        <v>16.399999999999999</v>
      </c>
      <c r="L15" s="15">
        <v>17.600000000000001</v>
      </c>
      <c r="M15" s="15">
        <v>18.8</v>
      </c>
      <c r="N15" s="15">
        <v>20</v>
      </c>
      <c r="O15" s="15">
        <v>21.6</v>
      </c>
      <c r="P15" s="15">
        <v>23.2</v>
      </c>
      <c r="Q15" s="15">
        <v>24.8</v>
      </c>
      <c r="R15" s="15">
        <v>26.4</v>
      </c>
      <c r="S15" s="15">
        <v>28</v>
      </c>
      <c r="T15" s="15">
        <v>29</v>
      </c>
      <c r="U15" s="15">
        <v>30</v>
      </c>
      <c r="V15" s="15">
        <v>31</v>
      </c>
      <c r="W15" s="15">
        <v>32</v>
      </c>
      <c r="X15" s="15">
        <v>33</v>
      </c>
      <c r="Y15" s="15">
        <v>34</v>
      </c>
      <c r="Z15" s="15">
        <v>35</v>
      </c>
      <c r="AA15" s="15">
        <v>36</v>
      </c>
      <c r="AB15" s="15">
        <v>37</v>
      </c>
      <c r="AC15" s="15">
        <v>38</v>
      </c>
      <c r="AD15" s="15">
        <v>39</v>
      </c>
      <c r="AE15" s="15">
        <v>40</v>
      </c>
      <c r="AF15" s="15">
        <v>41</v>
      </c>
      <c r="AG15" s="15">
        <v>42</v>
      </c>
      <c r="AH15" s="15">
        <v>43</v>
      </c>
      <c r="AI15" s="15">
        <v>44</v>
      </c>
      <c r="AJ15" s="15">
        <v>45</v>
      </c>
      <c r="AK15" s="15">
        <v>46</v>
      </c>
      <c r="AL15" s="15">
        <v>47</v>
      </c>
      <c r="AM15" s="15">
        <v>48</v>
      </c>
    </row>
    <row r="16" spans="1:43" ht="17" customHeight="1">
      <c r="A16" s="14" t="s">
        <v>68</v>
      </c>
      <c r="B16" s="7" t="s">
        <v>131</v>
      </c>
      <c r="C16" s="17">
        <v>1</v>
      </c>
      <c r="D16" s="17">
        <v>1.166666666666667</v>
      </c>
      <c r="E16" s="17">
        <v>1.333333333333333</v>
      </c>
      <c r="F16" s="17">
        <v>1.5</v>
      </c>
      <c r="G16" s="17">
        <v>1.666666666666667</v>
      </c>
      <c r="H16" s="17">
        <v>1.833333333333333</v>
      </c>
      <c r="I16" s="17">
        <v>2</v>
      </c>
      <c r="J16" s="17">
        <v>2.4</v>
      </c>
      <c r="K16" s="17">
        <v>2.8</v>
      </c>
      <c r="L16" s="17">
        <v>3.2</v>
      </c>
      <c r="M16" s="17">
        <v>3.6</v>
      </c>
      <c r="N16" s="17">
        <v>4</v>
      </c>
      <c r="O16" s="17">
        <v>4.8</v>
      </c>
      <c r="P16" s="17">
        <v>5.6</v>
      </c>
      <c r="Q16" s="17">
        <v>6.4</v>
      </c>
      <c r="R16" s="17">
        <v>7.2</v>
      </c>
      <c r="S16" s="17">
        <v>8</v>
      </c>
      <c r="T16" s="17">
        <v>8.6</v>
      </c>
      <c r="U16" s="17">
        <v>9.1999999999999993</v>
      </c>
      <c r="V16" s="17">
        <v>9.8000000000000007</v>
      </c>
      <c r="W16" s="17">
        <v>10.4</v>
      </c>
      <c r="X16" s="17">
        <v>11</v>
      </c>
      <c r="Y16" s="17">
        <v>11.6</v>
      </c>
      <c r="Z16" s="17">
        <v>12.2</v>
      </c>
      <c r="AA16" s="17">
        <v>12.8</v>
      </c>
      <c r="AB16" s="17">
        <v>13.4</v>
      </c>
      <c r="AC16" s="17">
        <v>14</v>
      </c>
      <c r="AD16" s="17">
        <v>14.4</v>
      </c>
      <c r="AE16" s="17">
        <v>14.8</v>
      </c>
      <c r="AF16" s="17">
        <v>15.2</v>
      </c>
      <c r="AG16" s="17">
        <v>15.6</v>
      </c>
      <c r="AH16" s="17">
        <v>16</v>
      </c>
      <c r="AI16" s="17">
        <v>16.399999999999999</v>
      </c>
      <c r="AJ16" s="17">
        <v>16.8</v>
      </c>
      <c r="AK16" s="17">
        <v>17.2</v>
      </c>
      <c r="AL16" s="17">
        <v>17.600000000000001</v>
      </c>
      <c r="AM16" s="17">
        <v>18</v>
      </c>
      <c r="AP16" s="3" t="s">
        <v>58</v>
      </c>
      <c r="AQ16" s="30" t="s">
        <v>59</v>
      </c>
    </row>
    <row r="17" spans="1:43" ht="17" customHeight="1">
      <c r="A17" s="14" t="s">
        <v>60</v>
      </c>
      <c r="B17" s="7" t="e">
        <f>1-短流程%-氢冶金%</f>
        <v>#NAME?</v>
      </c>
      <c r="C17" s="19">
        <f t="shared" ref="C17:AM17" si="0">1-C15/100-C16/100</f>
        <v>0.89</v>
      </c>
      <c r="D17" s="19">
        <f t="shared" si="0"/>
        <v>0.8816666666666666</v>
      </c>
      <c r="E17" s="19">
        <f t="shared" si="0"/>
        <v>0.87333333333333341</v>
      </c>
      <c r="F17" s="19">
        <f t="shared" si="0"/>
        <v>0.86499999999999999</v>
      </c>
      <c r="G17" s="19">
        <f t="shared" si="0"/>
        <v>0.85666666666666658</v>
      </c>
      <c r="H17" s="19">
        <f t="shared" si="0"/>
        <v>0.84833333333333338</v>
      </c>
      <c r="I17" s="19">
        <f t="shared" si="0"/>
        <v>0.84</v>
      </c>
      <c r="J17" s="19">
        <f t="shared" si="0"/>
        <v>0.82399999999999995</v>
      </c>
      <c r="K17" s="19">
        <f t="shared" si="0"/>
        <v>0.80800000000000005</v>
      </c>
      <c r="L17" s="19">
        <f t="shared" si="0"/>
        <v>0.79199999999999993</v>
      </c>
      <c r="M17" s="19">
        <f t="shared" si="0"/>
        <v>0.77600000000000002</v>
      </c>
      <c r="N17" s="19">
        <f t="shared" si="0"/>
        <v>0.76</v>
      </c>
      <c r="O17" s="19">
        <f t="shared" si="0"/>
        <v>0.73599999999999999</v>
      </c>
      <c r="P17" s="19">
        <f t="shared" si="0"/>
        <v>0.71199999999999997</v>
      </c>
      <c r="Q17" s="19">
        <f t="shared" si="0"/>
        <v>0.68799999999999994</v>
      </c>
      <c r="R17" s="19">
        <f t="shared" si="0"/>
        <v>0.66399999999999992</v>
      </c>
      <c r="S17" s="19">
        <f t="shared" si="0"/>
        <v>0.64</v>
      </c>
      <c r="T17" s="19">
        <f t="shared" si="0"/>
        <v>0.624</v>
      </c>
      <c r="U17" s="19">
        <f t="shared" si="0"/>
        <v>0.60799999999999998</v>
      </c>
      <c r="V17" s="19">
        <f t="shared" si="0"/>
        <v>0.59199999999999997</v>
      </c>
      <c r="W17" s="19">
        <f t="shared" si="0"/>
        <v>0.57599999999999996</v>
      </c>
      <c r="X17" s="19">
        <f t="shared" si="0"/>
        <v>0.55999999999999994</v>
      </c>
      <c r="Y17" s="19">
        <f t="shared" si="0"/>
        <v>0.54399999999999993</v>
      </c>
      <c r="Z17" s="19">
        <f t="shared" si="0"/>
        <v>0.52800000000000002</v>
      </c>
      <c r="AA17" s="19">
        <f t="shared" si="0"/>
        <v>0.51200000000000001</v>
      </c>
      <c r="AB17" s="19">
        <f t="shared" si="0"/>
        <v>0.496</v>
      </c>
      <c r="AC17" s="19">
        <f t="shared" si="0"/>
        <v>0.48</v>
      </c>
      <c r="AD17" s="19">
        <f t="shared" si="0"/>
        <v>0.46599999999999997</v>
      </c>
      <c r="AE17" s="19">
        <f t="shared" si="0"/>
        <v>0.45199999999999996</v>
      </c>
      <c r="AF17" s="19">
        <f t="shared" si="0"/>
        <v>0.43800000000000006</v>
      </c>
      <c r="AG17" s="19">
        <f t="shared" si="0"/>
        <v>0.42400000000000004</v>
      </c>
      <c r="AH17" s="19">
        <f t="shared" si="0"/>
        <v>0.41000000000000003</v>
      </c>
      <c r="AI17" s="19">
        <f t="shared" si="0"/>
        <v>0.39600000000000007</v>
      </c>
      <c r="AJ17" s="19">
        <f t="shared" si="0"/>
        <v>0.38200000000000001</v>
      </c>
      <c r="AK17" s="19">
        <f t="shared" si="0"/>
        <v>0.36800000000000005</v>
      </c>
      <c r="AL17" s="19">
        <f t="shared" si="0"/>
        <v>0.35399999999999998</v>
      </c>
      <c r="AM17" s="19">
        <f t="shared" si="0"/>
        <v>0.34</v>
      </c>
      <c r="AP17" s="3" t="s">
        <v>62</v>
      </c>
      <c r="AQ17" s="30" t="s">
        <v>63</v>
      </c>
    </row>
    <row r="18" spans="1:43" ht="17" customHeight="1">
      <c r="A18" s="2" t="s">
        <v>132</v>
      </c>
      <c r="B18" s="7" t="e">
        <f>长流程产量公式</f>
        <v>#NAME?</v>
      </c>
      <c r="C18" s="20">
        <f t="shared" ref="C18:AM18" si="1">C13*C17</f>
        <v>89453.01</v>
      </c>
      <c r="D18" s="20">
        <f t="shared" si="1"/>
        <v>84711.414999999994</v>
      </c>
      <c r="E18" s="20">
        <f t="shared" si="1"/>
        <v>81220</v>
      </c>
      <c r="F18" s="20">
        <f t="shared" si="1"/>
        <v>78715</v>
      </c>
      <c r="G18" s="20">
        <f t="shared" si="1"/>
        <v>76243.333333333328</v>
      </c>
      <c r="H18" s="20">
        <f t="shared" si="1"/>
        <v>73805</v>
      </c>
      <c r="I18" s="20">
        <f t="shared" si="1"/>
        <v>71400</v>
      </c>
      <c r="J18" s="20">
        <f t="shared" si="1"/>
        <v>68804</v>
      </c>
      <c r="K18" s="20">
        <f t="shared" si="1"/>
        <v>66256</v>
      </c>
      <c r="L18" s="20">
        <f t="shared" si="1"/>
        <v>63993.599999999991</v>
      </c>
      <c r="M18" s="20">
        <f t="shared" si="1"/>
        <v>61769.599999999999</v>
      </c>
      <c r="N18" s="20">
        <f t="shared" si="1"/>
        <v>59660</v>
      </c>
      <c r="O18" s="20">
        <f t="shared" si="1"/>
        <v>57040</v>
      </c>
      <c r="P18" s="20">
        <f t="shared" si="1"/>
        <v>54468</v>
      </c>
      <c r="Q18" s="20">
        <f t="shared" si="1"/>
        <v>51943.999999999993</v>
      </c>
      <c r="R18" s="20">
        <f t="shared" si="1"/>
        <v>49467.999999999993</v>
      </c>
      <c r="S18" s="20">
        <f t="shared" si="1"/>
        <v>47104</v>
      </c>
      <c r="T18" s="20">
        <f t="shared" si="1"/>
        <v>45427.199999999997</v>
      </c>
      <c r="U18" s="20">
        <f t="shared" si="1"/>
        <v>43776</v>
      </c>
      <c r="V18" s="20">
        <f t="shared" si="1"/>
        <v>42209.599999999999</v>
      </c>
      <c r="W18" s="20">
        <f t="shared" si="1"/>
        <v>40665.599999999999</v>
      </c>
      <c r="X18" s="20">
        <f t="shared" si="1"/>
        <v>39143.999999999993</v>
      </c>
      <c r="Y18" s="20">
        <f t="shared" si="1"/>
        <v>37699.199999999997</v>
      </c>
      <c r="Z18" s="20">
        <f t="shared" si="1"/>
        <v>36273.599999999999</v>
      </c>
      <c r="AA18" s="20">
        <f t="shared" si="1"/>
        <v>34918.400000000001</v>
      </c>
      <c r="AB18" s="20">
        <f t="shared" si="1"/>
        <v>33579.199999999997</v>
      </c>
      <c r="AC18" s="20">
        <f t="shared" si="1"/>
        <v>32256</v>
      </c>
      <c r="AD18" s="20">
        <f t="shared" si="1"/>
        <v>31035.599999999999</v>
      </c>
      <c r="AE18" s="20">
        <f t="shared" si="1"/>
        <v>29831.999999999996</v>
      </c>
      <c r="AF18" s="20">
        <f t="shared" si="1"/>
        <v>28645.200000000004</v>
      </c>
      <c r="AG18" s="20">
        <f t="shared" si="1"/>
        <v>27475.200000000004</v>
      </c>
      <c r="AH18" s="20">
        <f t="shared" si="1"/>
        <v>26322.000000000004</v>
      </c>
      <c r="AI18" s="20">
        <f t="shared" si="1"/>
        <v>25185.600000000006</v>
      </c>
      <c r="AJ18" s="20">
        <f t="shared" si="1"/>
        <v>24066</v>
      </c>
      <c r="AK18" s="20">
        <f t="shared" si="1"/>
        <v>23000.000000000004</v>
      </c>
      <c r="AL18" s="20">
        <f t="shared" si="1"/>
        <v>21948</v>
      </c>
      <c r="AM18" s="20">
        <f t="shared" si="1"/>
        <v>20944</v>
      </c>
      <c r="AP18" s="3" t="s">
        <v>66</v>
      </c>
      <c r="AQ18" s="30" t="s">
        <v>67</v>
      </c>
    </row>
    <row r="19" spans="1:43" ht="17" customHeight="1">
      <c r="A19" s="2" t="s">
        <v>133</v>
      </c>
      <c r="B19" s="7" t="e">
        <f>短流程产量公式</f>
        <v>#NAME?</v>
      </c>
      <c r="C19" s="20">
        <f t="shared" ref="C19:AM19" si="2">C13*C15/100</f>
        <v>10050.9</v>
      </c>
      <c r="D19" s="20">
        <f t="shared" si="2"/>
        <v>10248.640000000003</v>
      </c>
      <c r="E19" s="20">
        <f t="shared" si="2"/>
        <v>10539.999999999998</v>
      </c>
      <c r="F19" s="20">
        <f t="shared" si="2"/>
        <v>10920</v>
      </c>
      <c r="G19" s="20">
        <f t="shared" si="2"/>
        <v>11273.333333333336</v>
      </c>
      <c r="H19" s="20">
        <f t="shared" si="2"/>
        <v>11599.999999999998</v>
      </c>
      <c r="I19" s="20">
        <f t="shared" si="2"/>
        <v>11900</v>
      </c>
      <c r="J19" s="20">
        <f t="shared" si="2"/>
        <v>12692</v>
      </c>
      <c r="K19" s="20">
        <f t="shared" si="2"/>
        <v>13447.999999999998</v>
      </c>
      <c r="L19" s="20">
        <f t="shared" si="2"/>
        <v>14220.8</v>
      </c>
      <c r="M19" s="20">
        <f t="shared" si="2"/>
        <v>14964.8</v>
      </c>
      <c r="N19" s="20">
        <f t="shared" si="2"/>
        <v>15700</v>
      </c>
      <c r="O19" s="20">
        <f t="shared" si="2"/>
        <v>16740</v>
      </c>
      <c r="P19" s="20">
        <f t="shared" si="2"/>
        <v>17748</v>
      </c>
      <c r="Q19" s="20">
        <f t="shared" si="2"/>
        <v>18724</v>
      </c>
      <c r="R19" s="20">
        <f t="shared" si="2"/>
        <v>19668</v>
      </c>
      <c r="S19" s="20">
        <f t="shared" si="2"/>
        <v>20608</v>
      </c>
      <c r="T19" s="20">
        <f t="shared" si="2"/>
        <v>21112</v>
      </c>
      <c r="U19" s="20">
        <f t="shared" si="2"/>
        <v>21600</v>
      </c>
      <c r="V19" s="20">
        <f t="shared" si="2"/>
        <v>22103</v>
      </c>
      <c r="W19" s="20">
        <f t="shared" si="2"/>
        <v>22592</v>
      </c>
      <c r="X19" s="20">
        <f t="shared" si="2"/>
        <v>23067</v>
      </c>
      <c r="Y19" s="20">
        <f t="shared" si="2"/>
        <v>23562</v>
      </c>
      <c r="Z19" s="20">
        <f t="shared" si="2"/>
        <v>24045</v>
      </c>
      <c r="AA19" s="20">
        <f t="shared" si="2"/>
        <v>24552</v>
      </c>
      <c r="AB19" s="20">
        <f t="shared" si="2"/>
        <v>25049</v>
      </c>
      <c r="AC19" s="20">
        <f t="shared" si="2"/>
        <v>25536</v>
      </c>
      <c r="AD19" s="20">
        <f t="shared" si="2"/>
        <v>25974</v>
      </c>
      <c r="AE19" s="20">
        <f t="shared" si="2"/>
        <v>26400</v>
      </c>
      <c r="AF19" s="20">
        <f t="shared" si="2"/>
        <v>26814</v>
      </c>
      <c r="AG19" s="20">
        <f t="shared" si="2"/>
        <v>27216</v>
      </c>
      <c r="AH19" s="20">
        <f t="shared" si="2"/>
        <v>27606</v>
      </c>
      <c r="AI19" s="20">
        <f t="shared" si="2"/>
        <v>27984</v>
      </c>
      <c r="AJ19" s="20">
        <f t="shared" si="2"/>
        <v>28350</v>
      </c>
      <c r="AK19" s="20">
        <f t="shared" si="2"/>
        <v>28750</v>
      </c>
      <c r="AL19" s="20">
        <f t="shared" si="2"/>
        <v>29140</v>
      </c>
      <c r="AM19" s="20">
        <f t="shared" si="2"/>
        <v>29568</v>
      </c>
    </row>
    <row r="20" spans="1:43" ht="17" customHeight="1">
      <c r="A20" s="2" t="s">
        <v>134</v>
      </c>
      <c r="B20" s="7" t="e">
        <f>氢冶金产量公式</f>
        <v>#NAME?</v>
      </c>
      <c r="C20" s="20">
        <f t="shared" ref="C20:AM20" si="3">C13*C16/100</f>
        <v>1005.09</v>
      </c>
      <c r="D20" s="20">
        <f t="shared" si="3"/>
        <v>1120.9450000000004</v>
      </c>
      <c r="E20" s="20">
        <f t="shared" si="3"/>
        <v>1239.9999999999998</v>
      </c>
      <c r="F20" s="20">
        <f t="shared" si="3"/>
        <v>1365</v>
      </c>
      <c r="G20" s="20">
        <f t="shared" si="3"/>
        <v>1483.3333333333337</v>
      </c>
      <c r="H20" s="20">
        <f t="shared" si="3"/>
        <v>1594.9999999999998</v>
      </c>
      <c r="I20" s="20">
        <f t="shared" si="3"/>
        <v>1700</v>
      </c>
      <c r="J20" s="20">
        <f t="shared" si="3"/>
        <v>2004</v>
      </c>
      <c r="K20" s="20">
        <f t="shared" si="3"/>
        <v>2295.9999999999995</v>
      </c>
      <c r="L20" s="20">
        <f t="shared" si="3"/>
        <v>2585.6</v>
      </c>
      <c r="M20" s="20">
        <f t="shared" si="3"/>
        <v>2865.6</v>
      </c>
      <c r="N20" s="20">
        <f t="shared" si="3"/>
        <v>3140</v>
      </c>
      <c r="O20" s="20">
        <f t="shared" si="3"/>
        <v>3720</v>
      </c>
      <c r="P20" s="20">
        <f t="shared" si="3"/>
        <v>4284</v>
      </c>
      <c r="Q20" s="20">
        <f t="shared" si="3"/>
        <v>4832</v>
      </c>
      <c r="R20" s="20">
        <f t="shared" si="3"/>
        <v>5364</v>
      </c>
      <c r="S20" s="20">
        <f t="shared" si="3"/>
        <v>5888</v>
      </c>
      <c r="T20" s="20">
        <f t="shared" si="3"/>
        <v>6260.8</v>
      </c>
      <c r="U20" s="20">
        <f t="shared" si="3"/>
        <v>6624</v>
      </c>
      <c r="V20" s="20">
        <f t="shared" si="3"/>
        <v>6987.4</v>
      </c>
      <c r="W20" s="20">
        <f t="shared" si="3"/>
        <v>7342.4</v>
      </c>
      <c r="X20" s="20">
        <f t="shared" si="3"/>
        <v>7689</v>
      </c>
      <c r="Y20" s="20">
        <f t="shared" si="3"/>
        <v>8038.8</v>
      </c>
      <c r="Z20" s="20">
        <f t="shared" si="3"/>
        <v>8381.4</v>
      </c>
      <c r="AA20" s="20">
        <f t="shared" si="3"/>
        <v>8729.6</v>
      </c>
      <c r="AB20" s="20">
        <f t="shared" si="3"/>
        <v>9071.7999999999993</v>
      </c>
      <c r="AC20" s="20">
        <f t="shared" si="3"/>
        <v>9408</v>
      </c>
      <c r="AD20" s="20">
        <f t="shared" si="3"/>
        <v>9590.4</v>
      </c>
      <c r="AE20" s="20">
        <f t="shared" si="3"/>
        <v>9768</v>
      </c>
      <c r="AF20" s="20">
        <f t="shared" si="3"/>
        <v>9940.7999999999993</v>
      </c>
      <c r="AG20" s="20">
        <f t="shared" si="3"/>
        <v>10108.799999999999</v>
      </c>
      <c r="AH20" s="20">
        <f t="shared" si="3"/>
        <v>10272</v>
      </c>
      <c r="AI20" s="20">
        <f t="shared" si="3"/>
        <v>10430.4</v>
      </c>
      <c r="AJ20" s="20">
        <f t="shared" si="3"/>
        <v>10584</v>
      </c>
      <c r="AK20" s="20">
        <f t="shared" si="3"/>
        <v>10750</v>
      </c>
      <c r="AL20" s="20">
        <f t="shared" si="3"/>
        <v>10912</v>
      </c>
      <c r="AM20" s="20">
        <f t="shared" si="3"/>
        <v>11088</v>
      </c>
      <c r="AP20" s="3" t="s">
        <v>135</v>
      </c>
      <c r="AQ20" s="30" t="s">
        <v>136</v>
      </c>
    </row>
    <row r="21" spans="1:43" ht="17.5" customHeight="1">
      <c r="A21" s="34" t="s">
        <v>137</v>
      </c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6"/>
      <c r="AP21" s="3" t="s">
        <v>138</v>
      </c>
      <c r="AQ21" s="30" t="s">
        <v>139</v>
      </c>
    </row>
    <row r="22" spans="1:43" ht="28" customHeight="1">
      <c r="A22" s="7" t="s">
        <v>140</v>
      </c>
      <c r="B22" s="7" t="s">
        <v>141</v>
      </c>
      <c r="C22" s="21">
        <v>28820</v>
      </c>
      <c r="D22" s="21">
        <v>28219</v>
      </c>
      <c r="E22" s="21">
        <v>29961</v>
      </c>
      <c r="F22" s="21">
        <v>29382</v>
      </c>
      <c r="G22" s="21">
        <v>29386</v>
      </c>
      <c r="H22" s="21">
        <v>28778</v>
      </c>
      <c r="I22" s="21">
        <v>32732</v>
      </c>
      <c r="J22" s="21">
        <v>34435</v>
      </c>
      <c r="K22" s="21">
        <v>36658</v>
      </c>
      <c r="L22" s="21">
        <v>37830</v>
      </c>
      <c r="M22" s="21">
        <v>40503</v>
      </c>
      <c r="N22" s="21">
        <v>41237</v>
      </c>
      <c r="O22" s="21">
        <v>39624</v>
      </c>
      <c r="P22" s="21">
        <v>40341</v>
      </c>
      <c r="Q22" s="21">
        <v>43408</v>
      </c>
      <c r="R22" s="21">
        <v>48723</v>
      </c>
      <c r="S22" s="21">
        <v>49139</v>
      </c>
      <c r="T22" s="21">
        <v>53056</v>
      </c>
      <c r="U22" s="21">
        <v>53442</v>
      </c>
      <c r="V22" s="21">
        <v>57694</v>
      </c>
      <c r="W22" s="21">
        <v>56770</v>
      </c>
      <c r="X22" s="21">
        <v>57761</v>
      </c>
      <c r="Y22" s="21">
        <v>58218</v>
      </c>
      <c r="Z22" s="21">
        <v>58413</v>
      </c>
      <c r="AA22" s="21">
        <v>58398</v>
      </c>
      <c r="AB22" s="21">
        <v>58423</v>
      </c>
      <c r="AC22" s="21">
        <v>58294</v>
      </c>
      <c r="AD22" s="21">
        <v>57964</v>
      </c>
      <c r="AE22" s="21">
        <v>57618</v>
      </c>
      <c r="AF22" s="21">
        <v>58042</v>
      </c>
      <c r="AG22" s="21">
        <v>57652</v>
      </c>
      <c r="AH22" s="21">
        <v>58167</v>
      </c>
      <c r="AI22" s="21">
        <v>56985</v>
      </c>
      <c r="AJ22" s="21">
        <v>55820</v>
      </c>
      <c r="AK22" s="21">
        <v>54753</v>
      </c>
      <c r="AL22" s="21">
        <v>53677</v>
      </c>
      <c r="AM22" s="21">
        <v>52611</v>
      </c>
      <c r="AP22" s="3" t="s">
        <v>142</v>
      </c>
      <c r="AQ22" s="30" t="s">
        <v>143</v>
      </c>
    </row>
    <row r="23" spans="1:43" ht="17" customHeight="1">
      <c r="A23" s="2" t="s">
        <v>144</v>
      </c>
      <c r="B23" s="7" t="s">
        <v>145</v>
      </c>
      <c r="C23" s="20">
        <f t="shared" ref="C23:AM23" si="4">C18*0.3</f>
        <v>26835.902999999998</v>
      </c>
      <c r="D23" s="20">
        <f t="shared" si="4"/>
        <v>25413.424499999997</v>
      </c>
      <c r="E23" s="20">
        <f t="shared" si="4"/>
        <v>24366</v>
      </c>
      <c r="F23" s="20">
        <f t="shared" si="4"/>
        <v>23614.5</v>
      </c>
      <c r="G23" s="20">
        <f t="shared" si="4"/>
        <v>22872.999999999996</v>
      </c>
      <c r="H23" s="20">
        <f t="shared" si="4"/>
        <v>22141.5</v>
      </c>
      <c r="I23" s="20">
        <f t="shared" si="4"/>
        <v>21420</v>
      </c>
      <c r="J23" s="20">
        <f t="shared" si="4"/>
        <v>20641.2</v>
      </c>
      <c r="K23" s="20">
        <f t="shared" si="4"/>
        <v>19876.8</v>
      </c>
      <c r="L23" s="20">
        <f t="shared" si="4"/>
        <v>19198.079999999998</v>
      </c>
      <c r="M23" s="20">
        <f t="shared" si="4"/>
        <v>18530.879999999997</v>
      </c>
      <c r="N23" s="20">
        <f t="shared" si="4"/>
        <v>17898</v>
      </c>
      <c r="O23" s="20">
        <f t="shared" si="4"/>
        <v>17112</v>
      </c>
      <c r="P23" s="20">
        <f t="shared" si="4"/>
        <v>16340.4</v>
      </c>
      <c r="Q23" s="20">
        <f t="shared" si="4"/>
        <v>15583.199999999997</v>
      </c>
      <c r="R23" s="20">
        <f t="shared" si="4"/>
        <v>14840.399999999998</v>
      </c>
      <c r="S23" s="20">
        <f t="shared" si="4"/>
        <v>14131.199999999999</v>
      </c>
      <c r="T23" s="20">
        <f t="shared" si="4"/>
        <v>13628.159999999998</v>
      </c>
      <c r="U23" s="20">
        <f t="shared" si="4"/>
        <v>13132.8</v>
      </c>
      <c r="V23" s="20">
        <f t="shared" si="4"/>
        <v>12662.88</v>
      </c>
      <c r="W23" s="20">
        <f t="shared" si="4"/>
        <v>12199.679999999998</v>
      </c>
      <c r="X23" s="20">
        <f t="shared" si="4"/>
        <v>11743.199999999997</v>
      </c>
      <c r="Y23" s="20">
        <f t="shared" si="4"/>
        <v>11309.759999999998</v>
      </c>
      <c r="Z23" s="20">
        <f t="shared" si="4"/>
        <v>10882.08</v>
      </c>
      <c r="AA23" s="20">
        <f t="shared" si="4"/>
        <v>10475.52</v>
      </c>
      <c r="AB23" s="20">
        <f t="shared" si="4"/>
        <v>10073.759999999998</v>
      </c>
      <c r="AC23" s="20">
        <f t="shared" si="4"/>
        <v>9676.7999999999993</v>
      </c>
      <c r="AD23" s="20">
        <f t="shared" si="4"/>
        <v>9310.6799999999985</v>
      </c>
      <c r="AE23" s="20">
        <f t="shared" si="4"/>
        <v>8949.5999999999985</v>
      </c>
      <c r="AF23" s="20">
        <f t="shared" si="4"/>
        <v>8593.5600000000013</v>
      </c>
      <c r="AG23" s="20">
        <f t="shared" si="4"/>
        <v>8242.5600000000013</v>
      </c>
      <c r="AH23" s="20">
        <f t="shared" si="4"/>
        <v>7896.6</v>
      </c>
      <c r="AI23" s="20">
        <f t="shared" si="4"/>
        <v>7555.6800000000012</v>
      </c>
      <c r="AJ23" s="20">
        <f t="shared" si="4"/>
        <v>7219.8</v>
      </c>
      <c r="AK23" s="20">
        <f t="shared" si="4"/>
        <v>6900.0000000000009</v>
      </c>
      <c r="AL23" s="20">
        <f t="shared" si="4"/>
        <v>6584.4</v>
      </c>
      <c r="AM23" s="20">
        <f t="shared" si="4"/>
        <v>6283.2</v>
      </c>
      <c r="AP23" s="3" t="s">
        <v>146</v>
      </c>
      <c r="AQ23" s="30" t="s">
        <v>147</v>
      </c>
    </row>
    <row r="24" spans="1:43" ht="17" customHeight="1">
      <c r="A24" s="2" t="s">
        <v>148</v>
      </c>
      <c r="B24" s="7" t="s">
        <v>145</v>
      </c>
      <c r="C24" s="20">
        <f t="shared" ref="C24:AM24" si="5">(C18-C23/1.1)*1.053*1.65</f>
        <v>113032.82343599999</v>
      </c>
      <c r="D24" s="20">
        <f t="shared" si="5"/>
        <v>107041.343994</v>
      </c>
      <c r="E24" s="20">
        <f t="shared" si="5"/>
        <v>102629.59199999999</v>
      </c>
      <c r="F24" s="20">
        <f t="shared" si="5"/>
        <v>99464.27399999999</v>
      </c>
      <c r="G24" s="20">
        <f t="shared" si="5"/>
        <v>96341.075999999986</v>
      </c>
      <c r="H24" s="20">
        <f t="shared" si="5"/>
        <v>93259.997999999992</v>
      </c>
      <c r="I24" s="20">
        <f t="shared" si="5"/>
        <v>90221.04</v>
      </c>
      <c r="J24" s="20">
        <f t="shared" si="5"/>
        <v>86940.734399999987</v>
      </c>
      <c r="K24" s="20">
        <f t="shared" si="5"/>
        <v>83721.081600000005</v>
      </c>
      <c r="L24" s="20">
        <f t="shared" si="5"/>
        <v>80862.312959999981</v>
      </c>
      <c r="M24" s="20">
        <f t="shared" si="5"/>
        <v>78052.066559999992</v>
      </c>
      <c r="N24" s="20">
        <f t="shared" si="5"/>
        <v>75386.376000000004</v>
      </c>
      <c r="O24" s="20">
        <f t="shared" si="5"/>
        <v>72075.743999999992</v>
      </c>
      <c r="P24" s="20">
        <f t="shared" si="5"/>
        <v>68825.76479999999</v>
      </c>
      <c r="Q24" s="20">
        <f t="shared" si="5"/>
        <v>65636.438399999999</v>
      </c>
      <c r="R24" s="20">
        <f t="shared" si="5"/>
        <v>62507.764799999975</v>
      </c>
      <c r="S24" s="20">
        <f t="shared" si="5"/>
        <v>59520.614399999984</v>
      </c>
      <c r="T24" s="20">
        <f t="shared" si="5"/>
        <v>57401.80992</v>
      </c>
      <c r="U24" s="20">
        <f t="shared" si="5"/>
        <v>55315.353600000002</v>
      </c>
      <c r="V24" s="20">
        <f t="shared" si="5"/>
        <v>53336.050559999996</v>
      </c>
      <c r="W24" s="20">
        <f t="shared" si="5"/>
        <v>51385.052159999992</v>
      </c>
      <c r="X24" s="20">
        <f t="shared" si="5"/>
        <v>49462.358399999983</v>
      </c>
      <c r="Y24" s="20">
        <f t="shared" si="5"/>
        <v>47636.709119999992</v>
      </c>
      <c r="Z24" s="20">
        <f t="shared" si="5"/>
        <v>45835.32095999999</v>
      </c>
      <c r="AA24" s="20">
        <f t="shared" si="5"/>
        <v>44122.890240000001</v>
      </c>
      <c r="AB24" s="20">
        <f t="shared" si="5"/>
        <v>42430.677119999993</v>
      </c>
      <c r="AC24" s="20">
        <f t="shared" si="5"/>
        <v>40758.681599999996</v>
      </c>
      <c r="AD24" s="20">
        <f t="shared" si="5"/>
        <v>39216.584159999999</v>
      </c>
      <c r="AE24" s="20">
        <f t="shared" si="5"/>
        <v>37695.715199999999</v>
      </c>
      <c r="AF24" s="20">
        <f t="shared" si="5"/>
        <v>36196.074719999997</v>
      </c>
      <c r="AG24" s="20">
        <f t="shared" si="5"/>
        <v>34717.66272</v>
      </c>
      <c r="AH24" s="20">
        <f t="shared" si="5"/>
        <v>33260.479200000009</v>
      </c>
      <c r="AI24" s="20">
        <f t="shared" si="5"/>
        <v>31824.524160000004</v>
      </c>
      <c r="AJ24" s="20">
        <f t="shared" si="5"/>
        <v>30409.797600000002</v>
      </c>
      <c r="AK24" s="20">
        <f t="shared" si="5"/>
        <v>29062.800000000003</v>
      </c>
      <c r="AL24" s="20">
        <f t="shared" si="5"/>
        <v>27733.492799999996</v>
      </c>
      <c r="AM24" s="20">
        <f t="shared" si="5"/>
        <v>26464.838399999997</v>
      </c>
    </row>
    <row r="25" spans="1:43" ht="17" customHeight="1">
      <c r="A25" s="2" t="s">
        <v>149</v>
      </c>
      <c r="B25" s="7" t="s">
        <v>145</v>
      </c>
      <c r="C25" s="20">
        <f t="shared" ref="C25:AM25" si="6">C19*1.1</f>
        <v>11055.99</v>
      </c>
      <c r="D25" s="20">
        <f t="shared" si="6"/>
        <v>11273.504000000004</v>
      </c>
      <c r="E25" s="20">
        <f t="shared" si="6"/>
        <v>11593.999999999998</v>
      </c>
      <c r="F25" s="20">
        <f t="shared" si="6"/>
        <v>12012.000000000002</v>
      </c>
      <c r="G25" s="20">
        <f t="shared" si="6"/>
        <v>12400.66666666667</v>
      </c>
      <c r="H25" s="20">
        <f t="shared" si="6"/>
        <v>12759.999999999998</v>
      </c>
      <c r="I25" s="20">
        <f t="shared" si="6"/>
        <v>13090.000000000002</v>
      </c>
      <c r="J25" s="20">
        <f t="shared" si="6"/>
        <v>13961.2</v>
      </c>
      <c r="K25" s="20">
        <f t="shared" si="6"/>
        <v>14792.8</v>
      </c>
      <c r="L25" s="20">
        <f t="shared" si="6"/>
        <v>15642.880000000001</v>
      </c>
      <c r="M25" s="20">
        <f t="shared" si="6"/>
        <v>16461.28</v>
      </c>
      <c r="N25" s="20">
        <f t="shared" si="6"/>
        <v>17270</v>
      </c>
      <c r="O25" s="20">
        <f t="shared" si="6"/>
        <v>18414</v>
      </c>
      <c r="P25" s="20">
        <f t="shared" si="6"/>
        <v>19522.800000000003</v>
      </c>
      <c r="Q25" s="20">
        <f t="shared" si="6"/>
        <v>20596.400000000001</v>
      </c>
      <c r="R25" s="20">
        <f t="shared" si="6"/>
        <v>21634.800000000003</v>
      </c>
      <c r="S25" s="20">
        <f t="shared" si="6"/>
        <v>22668.800000000003</v>
      </c>
      <c r="T25" s="20">
        <f t="shared" si="6"/>
        <v>23223.200000000001</v>
      </c>
      <c r="U25" s="20">
        <f t="shared" si="6"/>
        <v>23760.000000000004</v>
      </c>
      <c r="V25" s="20">
        <f t="shared" si="6"/>
        <v>24313.300000000003</v>
      </c>
      <c r="W25" s="20">
        <f t="shared" si="6"/>
        <v>24851.200000000001</v>
      </c>
      <c r="X25" s="20">
        <f t="shared" si="6"/>
        <v>25373.7</v>
      </c>
      <c r="Y25" s="20">
        <f t="shared" si="6"/>
        <v>25918.2</v>
      </c>
      <c r="Z25" s="20">
        <f t="shared" si="6"/>
        <v>26449.500000000004</v>
      </c>
      <c r="AA25" s="20">
        <f t="shared" si="6"/>
        <v>27007.200000000001</v>
      </c>
      <c r="AB25" s="20">
        <f t="shared" si="6"/>
        <v>27553.9</v>
      </c>
      <c r="AC25" s="20">
        <f t="shared" si="6"/>
        <v>28089.600000000002</v>
      </c>
      <c r="AD25" s="20">
        <f t="shared" si="6"/>
        <v>28571.4</v>
      </c>
      <c r="AE25" s="20">
        <f t="shared" si="6"/>
        <v>29040.000000000004</v>
      </c>
      <c r="AF25" s="20">
        <f t="shared" si="6"/>
        <v>29495.4</v>
      </c>
      <c r="AG25" s="20">
        <f t="shared" si="6"/>
        <v>29937.600000000002</v>
      </c>
      <c r="AH25" s="20">
        <f t="shared" si="6"/>
        <v>30366.600000000002</v>
      </c>
      <c r="AI25" s="20">
        <f t="shared" si="6"/>
        <v>30782.400000000001</v>
      </c>
      <c r="AJ25" s="20">
        <f t="shared" si="6"/>
        <v>31185.000000000004</v>
      </c>
      <c r="AK25" s="20">
        <f t="shared" si="6"/>
        <v>31625.000000000004</v>
      </c>
      <c r="AL25" s="20">
        <f t="shared" si="6"/>
        <v>32054.000000000004</v>
      </c>
      <c r="AM25" s="20">
        <f t="shared" si="6"/>
        <v>32524.800000000003</v>
      </c>
      <c r="AP25" s="40" t="s">
        <v>150</v>
      </c>
      <c r="AQ25" s="36"/>
    </row>
    <row r="26" spans="1:43" ht="17" customHeight="1">
      <c r="A26" s="2" t="s">
        <v>151</v>
      </c>
      <c r="B26" s="7" t="s">
        <v>145</v>
      </c>
      <c r="C26" s="20">
        <f t="shared" ref="C26:AM26" si="7">C20*0.5</f>
        <v>502.54500000000002</v>
      </c>
      <c r="D26" s="20">
        <f t="shared" si="7"/>
        <v>560.4725000000002</v>
      </c>
      <c r="E26" s="20">
        <f t="shared" si="7"/>
        <v>619.99999999999989</v>
      </c>
      <c r="F26" s="20">
        <f t="shared" si="7"/>
        <v>682.5</v>
      </c>
      <c r="G26" s="20">
        <f t="shared" si="7"/>
        <v>741.66666666666686</v>
      </c>
      <c r="H26" s="20">
        <f t="shared" si="7"/>
        <v>797.49999999999989</v>
      </c>
      <c r="I26" s="20">
        <f t="shared" si="7"/>
        <v>850</v>
      </c>
      <c r="J26" s="20">
        <f t="shared" si="7"/>
        <v>1002</v>
      </c>
      <c r="K26" s="20">
        <f t="shared" si="7"/>
        <v>1147.9999999999998</v>
      </c>
      <c r="L26" s="20">
        <f t="shared" si="7"/>
        <v>1292.8</v>
      </c>
      <c r="M26" s="20">
        <f t="shared" si="7"/>
        <v>1432.8</v>
      </c>
      <c r="N26" s="20">
        <f t="shared" si="7"/>
        <v>1570</v>
      </c>
      <c r="O26" s="20">
        <f t="shared" si="7"/>
        <v>1860</v>
      </c>
      <c r="P26" s="20">
        <f t="shared" si="7"/>
        <v>2142</v>
      </c>
      <c r="Q26" s="20">
        <f t="shared" si="7"/>
        <v>2416</v>
      </c>
      <c r="R26" s="20">
        <f t="shared" si="7"/>
        <v>2682</v>
      </c>
      <c r="S26" s="20">
        <f t="shared" si="7"/>
        <v>2944</v>
      </c>
      <c r="T26" s="20">
        <f t="shared" si="7"/>
        <v>3130.4</v>
      </c>
      <c r="U26" s="20">
        <f t="shared" si="7"/>
        <v>3312</v>
      </c>
      <c r="V26" s="20">
        <f t="shared" si="7"/>
        <v>3493.7</v>
      </c>
      <c r="W26" s="20">
        <f t="shared" si="7"/>
        <v>3671.2</v>
      </c>
      <c r="X26" s="20">
        <f t="shared" si="7"/>
        <v>3844.5</v>
      </c>
      <c r="Y26" s="20">
        <f t="shared" si="7"/>
        <v>4019.4</v>
      </c>
      <c r="Z26" s="20">
        <f t="shared" si="7"/>
        <v>4190.7</v>
      </c>
      <c r="AA26" s="20">
        <f t="shared" si="7"/>
        <v>4364.8</v>
      </c>
      <c r="AB26" s="20">
        <f t="shared" si="7"/>
        <v>4535.8999999999996</v>
      </c>
      <c r="AC26" s="20">
        <f t="shared" si="7"/>
        <v>4704</v>
      </c>
      <c r="AD26" s="20">
        <f t="shared" si="7"/>
        <v>4795.2</v>
      </c>
      <c r="AE26" s="20">
        <f t="shared" si="7"/>
        <v>4884</v>
      </c>
      <c r="AF26" s="20">
        <f t="shared" si="7"/>
        <v>4970.3999999999996</v>
      </c>
      <c r="AG26" s="20">
        <f t="shared" si="7"/>
        <v>5054.3999999999996</v>
      </c>
      <c r="AH26" s="20">
        <f t="shared" si="7"/>
        <v>5136</v>
      </c>
      <c r="AI26" s="20">
        <f t="shared" si="7"/>
        <v>5215.2</v>
      </c>
      <c r="AJ26" s="20">
        <f t="shared" si="7"/>
        <v>5292</v>
      </c>
      <c r="AK26" s="20">
        <f t="shared" si="7"/>
        <v>5375</v>
      </c>
      <c r="AL26" s="20">
        <f t="shared" si="7"/>
        <v>5456</v>
      </c>
      <c r="AM26" s="20">
        <f t="shared" si="7"/>
        <v>5544</v>
      </c>
      <c r="AP26" s="3" t="s">
        <v>77</v>
      </c>
      <c r="AQ26" s="30" t="s">
        <v>78</v>
      </c>
    </row>
    <row r="27" spans="1:43" ht="17" customHeight="1">
      <c r="A27" s="2" t="s">
        <v>152</v>
      </c>
      <c r="B27" s="7" t="s">
        <v>145</v>
      </c>
      <c r="C27" s="20">
        <f t="shared" ref="C27:AM27" si="8">(C20-C26/1.1)*1.053*1.65</f>
        <v>952.52379299999984</v>
      </c>
      <c r="D27" s="20">
        <f t="shared" si="8"/>
        <v>1062.3195765000003</v>
      </c>
      <c r="E27" s="20">
        <f t="shared" si="8"/>
        <v>1175.1479999999997</v>
      </c>
      <c r="F27" s="20">
        <f t="shared" si="8"/>
        <v>1293.6105</v>
      </c>
      <c r="G27" s="20">
        <f t="shared" si="8"/>
        <v>1405.7550000000003</v>
      </c>
      <c r="H27" s="20">
        <f t="shared" si="8"/>
        <v>1511.5814999999996</v>
      </c>
      <c r="I27" s="20">
        <f t="shared" si="8"/>
        <v>1611.0900000000001</v>
      </c>
      <c r="J27" s="20">
        <f t="shared" si="8"/>
        <v>1899.1907999999999</v>
      </c>
      <c r="K27" s="20">
        <f t="shared" si="8"/>
        <v>2175.9191999999998</v>
      </c>
      <c r="L27" s="20">
        <f t="shared" si="8"/>
        <v>2450.3731200000002</v>
      </c>
      <c r="M27" s="20">
        <f t="shared" si="8"/>
        <v>2715.7291199999995</v>
      </c>
      <c r="N27" s="20">
        <f t="shared" si="8"/>
        <v>2975.7779999999998</v>
      </c>
      <c r="O27" s="20">
        <f t="shared" si="8"/>
        <v>3525.4439999999995</v>
      </c>
      <c r="P27" s="20">
        <f t="shared" si="8"/>
        <v>4059.9468000000002</v>
      </c>
      <c r="Q27" s="20">
        <f t="shared" si="8"/>
        <v>4579.2864</v>
      </c>
      <c r="R27" s="20">
        <f t="shared" si="8"/>
        <v>5083.4627999999993</v>
      </c>
      <c r="S27" s="20">
        <f t="shared" si="8"/>
        <v>5580.0576000000001</v>
      </c>
      <c r="T27" s="20">
        <f t="shared" si="8"/>
        <v>5933.3601600000002</v>
      </c>
      <c r="U27" s="20">
        <f t="shared" si="8"/>
        <v>6277.5648000000001</v>
      </c>
      <c r="V27" s="20">
        <f t="shared" si="8"/>
        <v>6621.9589799999994</v>
      </c>
      <c r="W27" s="20">
        <f t="shared" si="8"/>
        <v>6958.3924799999995</v>
      </c>
      <c r="X27" s="20">
        <f t="shared" si="8"/>
        <v>7286.8652999999995</v>
      </c>
      <c r="Y27" s="20">
        <f t="shared" si="8"/>
        <v>7618.3707599999998</v>
      </c>
      <c r="Z27" s="20">
        <f t="shared" si="8"/>
        <v>7943.0527799999991</v>
      </c>
      <c r="AA27" s="20">
        <f t="shared" si="8"/>
        <v>8273.0419199999997</v>
      </c>
      <c r="AB27" s="20">
        <f t="shared" si="8"/>
        <v>8597.3448599999992</v>
      </c>
      <c r="AC27" s="20">
        <f t="shared" si="8"/>
        <v>8915.9615999999987</v>
      </c>
      <c r="AD27" s="20">
        <f t="shared" si="8"/>
        <v>9088.8220799999999</v>
      </c>
      <c r="AE27" s="20">
        <f t="shared" si="8"/>
        <v>9257.1335999999992</v>
      </c>
      <c r="AF27" s="20">
        <f t="shared" si="8"/>
        <v>9420.8961599999984</v>
      </c>
      <c r="AG27" s="20">
        <f t="shared" si="8"/>
        <v>9580.1097599999994</v>
      </c>
      <c r="AH27" s="20">
        <f t="shared" si="8"/>
        <v>9734.7743999999984</v>
      </c>
      <c r="AI27" s="20">
        <f t="shared" si="8"/>
        <v>9884.890080000001</v>
      </c>
      <c r="AJ27" s="20">
        <f t="shared" si="8"/>
        <v>10030.4568</v>
      </c>
      <c r="AK27" s="20">
        <f t="shared" si="8"/>
        <v>10187.775</v>
      </c>
      <c r="AL27" s="20">
        <f t="shared" si="8"/>
        <v>10341.302399999999</v>
      </c>
      <c r="AM27" s="20">
        <f t="shared" si="8"/>
        <v>10508.097599999999</v>
      </c>
    </row>
    <row r="28" spans="1:43" ht="17" customHeight="1">
      <c r="A28" s="4" t="s">
        <v>153</v>
      </c>
      <c r="B28" s="7" t="s">
        <v>145</v>
      </c>
      <c r="C28" s="22">
        <f t="shared" ref="C28:AM28" si="9">C23+C25+C26</f>
        <v>38394.437999999995</v>
      </c>
      <c r="D28" s="22">
        <f t="shared" si="9"/>
        <v>37247.401000000005</v>
      </c>
      <c r="E28" s="22">
        <f t="shared" si="9"/>
        <v>36580</v>
      </c>
      <c r="F28" s="22">
        <f t="shared" si="9"/>
        <v>36309</v>
      </c>
      <c r="G28" s="22">
        <f t="shared" si="9"/>
        <v>36015.333333333328</v>
      </c>
      <c r="H28" s="22">
        <f t="shared" si="9"/>
        <v>35699</v>
      </c>
      <c r="I28" s="22">
        <f t="shared" si="9"/>
        <v>35360</v>
      </c>
      <c r="J28" s="22">
        <f t="shared" si="9"/>
        <v>35604.400000000001</v>
      </c>
      <c r="K28" s="22">
        <f t="shared" si="9"/>
        <v>35817.599999999999</v>
      </c>
      <c r="L28" s="22">
        <f t="shared" si="9"/>
        <v>36133.760000000002</v>
      </c>
      <c r="M28" s="22">
        <f t="shared" si="9"/>
        <v>36424.959999999999</v>
      </c>
      <c r="N28" s="22">
        <f t="shared" si="9"/>
        <v>36738</v>
      </c>
      <c r="O28" s="22">
        <f t="shared" si="9"/>
        <v>37386</v>
      </c>
      <c r="P28" s="22">
        <f t="shared" si="9"/>
        <v>38005.200000000004</v>
      </c>
      <c r="Q28" s="22">
        <f t="shared" si="9"/>
        <v>38595.599999999999</v>
      </c>
      <c r="R28" s="22">
        <f t="shared" si="9"/>
        <v>39157.199999999997</v>
      </c>
      <c r="S28" s="22">
        <f t="shared" si="9"/>
        <v>39744</v>
      </c>
      <c r="T28" s="22">
        <f t="shared" si="9"/>
        <v>39981.760000000002</v>
      </c>
      <c r="U28" s="22">
        <f t="shared" si="9"/>
        <v>40204.800000000003</v>
      </c>
      <c r="V28" s="22">
        <f t="shared" si="9"/>
        <v>40469.879999999997</v>
      </c>
      <c r="W28" s="22">
        <f t="shared" si="9"/>
        <v>40722.079999999994</v>
      </c>
      <c r="X28" s="22">
        <f t="shared" si="9"/>
        <v>40961.399999999994</v>
      </c>
      <c r="Y28" s="22">
        <f t="shared" si="9"/>
        <v>41247.360000000001</v>
      </c>
      <c r="Z28" s="22">
        <f t="shared" si="9"/>
        <v>41522.28</v>
      </c>
      <c r="AA28" s="22">
        <f t="shared" si="9"/>
        <v>41847.520000000004</v>
      </c>
      <c r="AB28" s="22">
        <f t="shared" si="9"/>
        <v>42163.560000000005</v>
      </c>
      <c r="AC28" s="22">
        <f t="shared" si="9"/>
        <v>42470.400000000001</v>
      </c>
      <c r="AD28" s="22">
        <f t="shared" si="9"/>
        <v>42677.279999999999</v>
      </c>
      <c r="AE28" s="22">
        <f t="shared" si="9"/>
        <v>42873.600000000006</v>
      </c>
      <c r="AF28" s="22">
        <f t="shared" si="9"/>
        <v>43059.360000000008</v>
      </c>
      <c r="AG28" s="22">
        <f t="shared" si="9"/>
        <v>43234.560000000005</v>
      </c>
      <c r="AH28" s="22">
        <f t="shared" si="9"/>
        <v>43399.200000000004</v>
      </c>
      <c r="AI28" s="22">
        <f t="shared" si="9"/>
        <v>43553.279999999999</v>
      </c>
      <c r="AJ28" s="22">
        <f t="shared" si="9"/>
        <v>43696.800000000003</v>
      </c>
      <c r="AK28" s="22">
        <f t="shared" si="9"/>
        <v>43900.000000000007</v>
      </c>
      <c r="AL28" s="22">
        <f t="shared" si="9"/>
        <v>44094.400000000001</v>
      </c>
      <c r="AM28" s="22">
        <f t="shared" si="9"/>
        <v>44352</v>
      </c>
      <c r="AP28" s="3" t="s">
        <v>79</v>
      </c>
      <c r="AQ28" s="30" t="s">
        <v>80</v>
      </c>
    </row>
    <row r="29" spans="1:43" ht="17" customHeight="1">
      <c r="A29" s="4" t="s">
        <v>154</v>
      </c>
      <c r="B29" s="7" t="s">
        <v>145</v>
      </c>
      <c r="C29" s="22">
        <f t="shared" ref="C29:AM29" si="10">C24+C27</f>
        <v>113985.34722899999</v>
      </c>
      <c r="D29" s="22">
        <f t="shared" si="10"/>
        <v>108103.66357049999</v>
      </c>
      <c r="E29" s="22">
        <f t="shared" si="10"/>
        <v>103804.73999999999</v>
      </c>
      <c r="F29" s="22">
        <f t="shared" si="10"/>
        <v>100757.88449999999</v>
      </c>
      <c r="G29" s="22">
        <f t="shared" si="10"/>
        <v>97746.830999999991</v>
      </c>
      <c r="H29" s="22">
        <f t="shared" si="10"/>
        <v>94771.579499999993</v>
      </c>
      <c r="I29" s="22">
        <f t="shared" si="10"/>
        <v>91832.12999999999</v>
      </c>
      <c r="J29" s="22">
        <f t="shared" si="10"/>
        <v>88839.925199999983</v>
      </c>
      <c r="K29" s="22">
        <f t="shared" si="10"/>
        <v>85897.000800000009</v>
      </c>
      <c r="L29" s="22">
        <f t="shared" si="10"/>
        <v>83312.686079999985</v>
      </c>
      <c r="M29" s="22">
        <f t="shared" si="10"/>
        <v>80767.795679999996</v>
      </c>
      <c r="N29" s="22">
        <f t="shared" si="10"/>
        <v>78362.15400000001</v>
      </c>
      <c r="O29" s="22">
        <f t="shared" si="10"/>
        <v>75601.187999999995</v>
      </c>
      <c r="P29" s="22">
        <f t="shared" si="10"/>
        <v>72885.711599999995</v>
      </c>
      <c r="Q29" s="22">
        <f t="shared" si="10"/>
        <v>70215.724799999996</v>
      </c>
      <c r="R29" s="22">
        <f t="shared" si="10"/>
        <v>67591.227599999969</v>
      </c>
      <c r="S29" s="22">
        <f t="shared" si="10"/>
        <v>65100.671999999984</v>
      </c>
      <c r="T29" s="22">
        <f t="shared" si="10"/>
        <v>63335.170079999996</v>
      </c>
      <c r="U29" s="22">
        <f t="shared" si="10"/>
        <v>61592.918400000002</v>
      </c>
      <c r="V29" s="22">
        <f t="shared" si="10"/>
        <v>59958.009539999999</v>
      </c>
      <c r="W29" s="22">
        <f t="shared" si="10"/>
        <v>58343.444639999994</v>
      </c>
      <c r="X29" s="22">
        <f t="shared" si="10"/>
        <v>56749.22369999998</v>
      </c>
      <c r="Y29" s="22">
        <f t="shared" si="10"/>
        <v>55255.07987999999</v>
      </c>
      <c r="Z29" s="22">
        <f t="shared" si="10"/>
        <v>53778.373739999988</v>
      </c>
      <c r="AA29" s="22">
        <f t="shared" si="10"/>
        <v>52395.932159999997</v>
      </c>
      <c r="AB29" s="22">
        <f t="shared" si="10"/>
        <v>51028.02197999999</v>
      </c>
      <c r="AC29" s="22">
        <f t="shared" si="10"/>
        <v>49674.643199999991</v>
      </c>
      <c r="AD29" s="22">
        <f t="shared" si="10"/>
        <v>48305.406239999997</v>
      </c>
      <c r="AE29" s="22">
        <f t="shared" si="10"/>
        <v>46952.8488</v>
      </c>
      <c r="AF29" s="22">
        <f t="shared" si="10"/>
        <v>45616.970879999993</v>
      </c>
      <c r="AG29" s="22">
        <f t="shared" si="10"/>
        <v>44297.77248</v>
      </c>
      <c r="AH29" s="22">
        <f t="shared" si="10"/>
        <v>42995.253600000011</v>
      </c>
      <c r="AI29" s="22">
        <f t="shared" si="10"/>
        <v>41709.414240000006</v>
      </c>
      <c r="AJ29" s="22">
        <f t="shared" si="10"/>
        <v>40440.254400000005</v>
      </c>
      <c r="AK29" s="22">
        <f t="shared" si="10"/>
        <v>39250.575000000004</v>
      </c>
      <c r="AL29" s="22">
        <f t="shared" si="10"/>
        <v>38074.795199999993</v>
      </c>
      <c r="AM29" s="22">
        <f t="shared" si="10"/>
        <v>36972.935999999994</v>
      </c>
      <c r="AP29" s="3" t="s">
        <v>81</v>
      </c>
      <c r="AQ29" s="30" t="s">
        <v>82</v>
      </c>
    </row>
    <row r="30" spans="1:43" ht="17.5" customHeight="1">
      <c r="A30" s="34" t="s">
        <v>155</v>
      </c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6"/>
      <c r="AP30" s="3" t="s">
        <v>83</v>
      </c>
      <c r="AQ30" s="30" t="s">
        <v>84</v>
      </c>
    </row>
    <row r="31" spans="1:43" ht="17" customHeight="1">
      <c r="A31" s="2" t="s">
        <v>156</v>
      </c>
      <c r="B31" s="7" t="s">
        <v>157</v>
      </c>
      <c r="C31" s="20">
        <f t="shared" ref="C31:AM31" si="11">C18*450+C19*550+C20*500</f>
        <v>46284394.5</v>
      </c>
      <c r="D31" s="20">
        <f t="shared" si="11"/>
        <v>44317361.25</v>
      </c>
      <c r="E31" s="20">
        <f t="shared" si="11"/>
        <v>42966000</v>
      </c>
      <c r="F31" s="20">
        <f t="shared" si="11"/>
        <v>42110250</v>
      </c>
      <c r="G31" s="20">
        <f t="shared" si="11"/>
        <v>41251500</v>
      </c>
      <c r="H31" s="20">
        <f t="shared" si="11"/>
        <v>40389750</v>
      </c>
      <c r="I31" s="20">
        <f t="shared" si="11"/>
        <v>39525000</v>
      </c>
      <c r="J31" s="20">
        <f t="shared" si="11"/>
        <v>38944400</v>
      </c>
      <c r="K31" s="20">
        <f t="shared" si="11"/>
        <v>38359600</v>
      </c>
      <c r="L31" s="20">
        <f t="shared" si="11"/>
        <v>37911360</v>
      </c>
      <c r="M31" s="20">
        <f t="shared" si="11"/>
        <v>37459760</v>
      </c>
      <c r="N31" s="20">
        <f t="shared" si="11"/>
        <v>37052000</v>
      </c>
      <c r="O31" s="20">
        <f t="shared" si="11"/>
        <v>36735000</v>
      </c>
      <c r="P31" s="20">
        <f t="shared" si="11"/>
        <v>36414000</v>
      </c>
      <c r="Q31" s="20">
        <f t="shared" si="11"/>
        <v>36089000</v>
      </c>
      <c r="R31" s="20">
        <f t="shared" si="11"/>
        <v>35760000</v>
      </c>
      <c r="S31" s="20">
        <f t="shared" si="11"/>
        <v>35475200</v>
      </c>
      <c r="T31" s="20">
        <f t="shared" si="11"/>
        <v>35184240</v>
      </c>
      <c r="U31" s="20">
        <f t="shared" si="11"/>
        <v>34891200</v>
      </c>
      <c r="V31" s="20">
        <f t="shared" si="11"/>
        <v>34644670</v>
      </c>
      <c r="W31" s="20">
        <f t="shared" si="11"/>
        <v>34396320</v>
      </c>
      <c r="X31" s="20">
        <f t="shared" si="11"/>
        <v>34146150</v>
      </c>
      <c r="Y31" s="20">
        <f t="shared" si="11"/>
        <v>33943140</v>
      </c>
      <c r="Z31" s="20">
        <f t="shared" si="11"/>
        <v>33738570</v>
      </c>
      <c r="AA31" s="20">
        <f t="shared" si="11"/>
        <v>33581680</v>
      </c>
      <c r="AB31" s="20">
        <f t="shared" si="11"/>
        <v>33423490</v>
      </c>
      <c r="AC31" s="20">
        <f t="shared" si="11"/>
        <v>33264000</v>
      </c>
      <c r="AD31" s="20">
        <f t="shared" si="11"/>
        <v>33046920</v>
      </c>
      <c r="AE31" s="20">
        <f t="shared" si="11"/>
        <v>32828400</v>
      </c>
      <c r="AF31" s="20">
        <f t="shared" si="11"/>
        <v>32608440</v>
      </c>
      <c r="AG31" s="20">
        <f t="shared" si="11"/>
        <v>32387040</v>
      </c>
      <c r="AH31" s="20">
        <f t="shared" si="11"/>
        <v>32164200</v>
      </c>
      <c r="AI31" s="20">
        <f t="shared" si="11"/>
        <v>31939920</v>
      </c>
      <c r="AJ31" s="20">
        <f t="shared" si="11"/>
        <v>31714200</v>
      </c>
      <c r="AK31" s="20">
        <f t="shared" si="11"/>
        <v>31537500</v>
      </c>
      <c r="AL31" s="20">
        <f t="shared" si="11"/>
        <v>31359600</v>
      </c>
      <c r="AM31" s="20">
        <f t="shared" si="11"/>
        <v>31231200</v>
      </c>
    </row>
    <row r="32" spans="1:43" ht="17" customHeight="1">
      <c r="A32" s="2" t="s">
        <v>158</v>
      </c>
      <c r="B32" s="7" t="s">
        <v>157</v>
      </c>
      <c r="C32" s="23">
        <v>0</v>
      </c>
      <c r="D32" s="23">
        <v>3.3333333333333333E-2</v>
      </c>
      <c r="E32" s="23">
        <v>6.6666666666666666E-2</v>
      </c>
      <c r="F32" s="23">
        <v>0.1</v>
      </c>
      <c r="G32" s="23">
        <v>0.1333333333333333</v>
      </c>
      <c r="H32" s="23">
        <v>0.16666666666666671</v>
      </c>
      <c r="I32" s="23">
        <v>0.2</v>
      </c>
      <c r="J32" s="23">
        <v>0.23</v>
      </c>
      <c r="K32" s="23">
        <v>0.26</v>
      </c>
      <c r="L32" s="23">
        <v>0.28999999999999998</v>
      </c>
      <c r="M32" s="23">
        <v>0.32</v>
      </c>
      <c r="N32" s="23">
        <v>0.35</v>
      </c>
      <c r="O32" s="23">
        <v>0.38400000000000001</v>
      </c>
      <c r="P32" s="23">
        <v>0.41799999999999998</v>
      </c>
      <c r="Q32" s="23">
        <v>0.45200000000000001</v>
      </c>
      <c r="R32" s="23">
        <v>0.48599999999999999</v>
      </c>
      <c r="S32" s="23">
        <v>0.52</v>
      </c>
      <c r="T32" s="23">
        <v>0.54</v>
      </c>
      <c r="U32" s="23">
        <v>0.56000000000000005</v>
      </c>
      <c r="V32" s="23">
        <v>0.57999999999999996</v>
      </c>
      <c r="W32" s="23">
        <v>0.6</v>
      </c>
      <c r="X32" s="23">
        <v>0.62</v>
      </c>
      <c r="Y32" s="23">
        <v>0.64</v>
      </c>
      <c r="Z32" s="23">
        <v>0.65999999999999992</v>
      </c>
      <c r="AA32" s="23">
        <v>0.67999999999999994</v>
      </c>
      <c r="AB32" s="23">
        <v>0.7</v>
      </c>
      <c r="AC32" s="23">
        <v>0.72</v>
      </c>
      <c r="AD32" s="23">
        <v>0.73599999999999999</v>
      </c>
      <c r="AE32" s="23">
        <v>0.752</v>
      </c>
      <c r="AF32" s="23">
        <v>0.76800000000000002</v>
      </c>
      <c r="AG32" s="23">
        <v>0.78400000000000003</v>
      </c>
      <c r="AH32" s="23">
        <v>0.8</v>
      </c>
      <c r="AI32" s="23">
        <v>0.81599999999999995</v>
      </c>
      <c r="AJ32" s="23">
        <v>0.83199999999999996</v>
      </c>
      <c r="AK32" s="23">
        <v>0.84799999999999998</v>
      </c>
      <c r="AL32" s="23">
        <v>0.86399999999999999</v>
      </c>
      <c r="AM32" s="23">
        <v>0.88</v>
      </c>
    </row>
    <row r="33" spans="1:39" ht="17" customHeight="1">
      <c r="A33" s="2" t="s">
        <v>159</v>
      </c>
      <c r="B33" s="7" t="s">
        <v>157</v>
      </c>
      <c r="C33" s="20">
        <f t="shared" ref="C33:AM33" si="12">C31*C32</f>
        <v>0</v>
      </c>
      <c r="D33" s="20">
        <f t="shared" si="12"/>
        <v>1477245.375</v>
      </c>
      <c r="E33" s="20">
        <f t="shared" si="12"/>
        <v>2864400</v>
      </c>
      <c r="F33" s="20">
        <f t="shared" si="12"/>
        <v>4211025</v>
      </c>
      <c r="G33" s="20">
        <f t="shared" si="12"/>
        <v>5500199.9999999991</v>
      </c>
      <c r="H33" s="20">
        <f t="shared" si="12"/>
        <v>6731625.0000000019</v>
      </c>
      <c r="I33" s="20">
        <f t="shared" si="12"/>
        <v>7905000</v>
      </c>
      <c r="J33" s="20">
        <f t="shared" si="12"/>
        <v>8957212</v>
      </c>
      <c r="K33" s="20">
        <f t="shared" si="12"/>
        <v>9973496</v>
      </c>
      <c r="L33" s="20">
        <f t="shared" si="12"/>
        <v>10994294.399999999</v>
      </c>
      <c r="M33" s="20">
        <f t="shared" si="12"/>
        <v>11987123.200000001</v>
      </c>
      <c r="N33" s="20">
        <f t="shared" si="12"/>
        <v>12968200</v>
      </c>
      <c r="O33" s="20">
        <f t="shared" si="12"/>
        <v>14106240</v>
      </c>
      <c r="P33" s="20">
        <f t="shared" si="12"/>
        <v>15221052</v>
      </c>
      <c r="Q33" s="20">
        <f t="shared" si="12"/>
        <v>16312228</v>
      </c>
      <c r="R33" s="20">
        <f t="shared" si="12"/>
        <v>17379360</v>
      </c>
      <c r="S33" s="20">
        <f t="shared" si="12"/>
        <v>18447104</v>
      </c>
      <c r="T33" s="20">
        <f t="shared" si="12"/>
        <v>18999489.600000001</v>
      </c>
      <c r="U33" s="20">
        <f t="shared" si="12"/>
        <v>19539072</v>
      </c>
      <c r="V33" s="20">
        <f t="shared" si="12"/>
        <v>20093908.599999998</v>
      </c>
      <c r="W33" s="20">
        <f t="shared" si="12"/>
        <v>20637792</v>
      </c>
      <c r="X33" s="20">
        <f t="shared" si="12"/>
        <v>21170613</v>
      </c>
      <c r="Y33" s="20">
        <f t="shared" si="12"/>
        <v>21723609.600000001</v>
      </c>
      <c r="Z33" s="20">
        <f t="shared" si="12"/>
        <v>22267456.199999996</v>
      </c>
      <c r="AA33" s="20">
        <f t="shared" si="12"/>
        <v>22835542.399999999</v>
      </c>
      <c r="AB33" s="20">
        <f t="shared" si="12"/>
        <v>23396443</v>
      </c>
      <c r="AC33" s="20">
        <f t="shared" si="12"/>
        <v>23950080</v>
      </c>
      <c r="AD33" s="20">
        <f t="shared" si="12"/>
        <v>24322533.120000001</v>
      </c>
      <c r="AE33" s="20">
        <f t="shared" si="12"/>
        <v>24686956.800000001</v>
      </c>
      <c r="AF33" s="20">
        <f t="shared" si="12"/>
        <v>25043281.920000002</v>
      </c>
      <c r="AG33" s="20">
        <f t="shared" si="12"/>
        <v>25391439.359999999</v>
      </c>
      <c r="AH33" s="20">
        <f t="shared" si="12"/>
        <v>25731360</v>
      </c>
      <c r="AI33" s="20">
        <f t="shared" si="12"/>
        <v>26062974.719999999</v>
      </c>
      <c r="AJ33" s="20">
        <f t="shared" si="12"/>
        <v>26386214.399999999</v>
      </c>
      <c r="AK33" s="20">
        <f t="shared" si="12"/>
        <v>26743800</v>
      </c>
      <c r="AL33" s="20">
        <f t="shared" si="12"/>
        <v>27094694.399999999</v>
      </c>
      <c r="AM33" s="20">
        <f t="shared" si="12"/>
        <v>27483456</v>
      </c>
    </row>
    <row r="34" spans="1:39" ht="17.5" customHeight="1">
      <c r="A34" s="34" t="s">
        <v>160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6"/>
    </row>
    <row r="35" spans="1:39" ht="46" customHeight="1">
      <c r="A35" s="14" t="s">
        <v>161</v>
      </c>
      <c r="B35" s="7" t="s">
        <v>162</v>
      </c>
      <c r="C35" s="24" t="s">
        <v>163</v>
      </c>
      <c r="D35" s="24" t="s">
        <v>164</v>
      </c>
      <c r="E35" s="24" t="s">
        <v>165</v>
      </c>
      <c r="F35" s="24" t="s">
        <v>166</v>
      </c>
      <c r="G35" s="24" t="s">
        <v>167</v>
      </c>
      <c r="H35" s="24" t="s">
        <v>168</v>
      </c>
      <c r="I35" s="24" t="s">
        <v>166</v>
      </c>
      <c r="J35" s="24" t="s">
        <v>169</v>
      </c>
      <c r="K35" s="24" t="s">
        <v>170</v>
      </c>
      <c r="L35" s="24" t="s">
        <v>171</v>
      </c>
      <c r="M35" s="24" t="s">
        <v>172</v>
      </c>
      <c r="N35" s="24" t="s">
        <v>173</v>
      </c>
      <c r="O35" s="24" t="s">
        <v>174</v>
      </c>
      <c r="P35" s="24" t="s">
        <v>175</v>
      </c>
      <c r="Q35" s="24" t="s">
        <v>166</v>
      </c>
      <c r="R35" s="24" t="s">
        <v>166</v>
      </c>
      <c r="S35" s="24" t="s">
        <v>166</v>
      </c>
      <c r="T35" s="24" t="s">
        <v>166</v>
      </c>
      <c r="U35" s="24" t="s">
        <v>166</v>
      </c>
      <c r="V35" s="24" t="s">
        <v>176</v>
      </c>
      <c r="W35" s="24" t="s">
        <v>166</v>
      </c>
      <c r="X35" s="24" t="s">
        <v>166</v>
      </c>
      <c r="Y35" s="24" t="s">
        <v>166</v>
      </c>
      <c r="Z35" s="24" t="s">
        <v>177</v>
      </c>
      <c r="AA35" s="24" t="s">
        <v>166</v>
      </c>
      <c r="AB35" s="24" t="s">
        <v>166</v>
      </c>
      <c r="AC35" s="24" t="s">
        <v>166</v>
      </c>
      <c r="AD35" s="24" t="s">
        <v>166</v>
      </c>
      <c r="AE35" s="24" t="s">
        <v>166</v>
      </c>
      <c r="AF35" s="24" t="s">
        <v>166</v>
      </c>
      <c r="AG35" s="24" t="s">
        <v>166</v>
      </c>
      <c r="AH35" s="24" t="s">
        <v>166</v>
      </c>
      <c r="AI35" s="24" t="s">
        <v>166</v>
      </c>
      <c r="AJ35" s="24" t="s">
        <v>166</v>
      </c>
      <c r="AK35" s="24" t="s">
        <v>166</v>
      </c>
      <c r="AL35" s="24" t="s">
        <v>166</v>
      </c>
      <c r="AM35" s="24" t="s">
        <v>166</v>
      </c>
    </row>
    <row r="36" spans="1:39" ht="17" customHeight="1">
      <c r="A36" s="2" t="s">
        <v>178</v>
      </c>
      <c r="B36" s="7" t="s">
        <v>179</v>
      </c>
      <c r="C36" s="25">
        <v>0</v>
      </c>
      <c r="D36" s="25">
        <v>8.3333333333333328E-4</v>
      </c>
      <c r="E36" s="25">
        <v>1.666666666666667E-3</v>
      </c>
      <c r="F36" s="25">
        <v>2.5000000000000001E-3</v>
      </c>
      <c r="G36" s="25">
        <v>3.3333333333333331E-3</v>
      </c>
      <c r="H36" s="25">
        <v>4.1666666666666666E-3</v>
      </c>
      <c r="I36" s="25">
        <v>5.0000000000000001E-3</v>
      </c>
      <c r="J36" s="25">
        <v>8.0000000000000002E-3</v>
      </c>
      <c r="K36" s="25">
        <v>1.0999999999999999E-2</v>
      </c>
      <c r="L36" s="25">
        <v>1.4E-2</v>
      </c>
      <c r="M36" s="25">
        <v>1.7000000000000001E-2</v>
      </c>
      <c r="N36" s="25">
        <v>0.02</v>
      </c>
      <c r="O36" s="25">
        <v>2.1999999999999999E-2</v>
      </c>
      <c r="P36" s="25">
        <v>2.4E-2</v>
      </c>
      <c r="Q36" s="25">
        <v>2.5999999999999999E-2</v>
      </c>
      <c r="R36" s="25">
        <v>2.8000000000000001E-2</v>
      </c>
      <c r="S36" s="25">
        <v>0.03</v>
      </c>
      <c r="T36" s="25">
        <v>3.0499999999999999E-2</v>
      </c>
      <c r="U36" s="25">
        <v>3.1E-2</v>
      </c>
      <c r="V36" s="25">
        <v>3.15E-2</v>
      </c>
      <c r="W36" s="25">
        <v>3.2000000000000001E-2</v>
      </c>
      <c r="X36" s="25">
        <v>3.2500000000000001E-2</v>
      </c>
      <c r="Y36" s="25">
        <v>3.3000000000000002E-2</v>
      </c>
      <c r="Z36" s="25">
        <v>3.3500000000000002E-2</v>
      </c>
      <c r="AA36" s="25">
        <v>3.4000000000000002E-2</v>
      </c>
      <c r="AB36" s="25">
        <v>3.4500000000000003E-2</v>
      </c>
      <c r="AC36" s="25">
        <v>3.5000000000000003E-2</v>
      </c>
      <c r="AD36" s="25">
        <v>3.3500000000000002E-2</v>
      </c>
      <c r="AE36" s="25">
        <v>3.2000000000000001E-2</v>
      </c>
      <c r="AF36" s="25">
        <v>3.0499999999999999E-2</v>
      </c>
      <c r="AG36" s="25">
        <v>2.9000000000000001E-2</v>
      </c>
      <c r="AH36" s="25">
        <v>2.75E-2</v>
      </c>
      <c r="AI36" s="25">
        <v>2.5999999999999999E-2</v>
      </c>
      <c r="AJ36" s="25">
        <v>2.4500000000000001E-2</v>
      </c>
      <c r="AK36" s="25">
        <v>2.3E-2</v>
      </c>
      <c r="AL36" s="25">
        <v>2.1499999999999998E-2</v>
      </c>
      <c r="AM36" s="25">
        <v>0.02</v>
      </c>
    </row>
    <row r="37" spans="1:39" ht="17" customHeight="1">
      <c r="A37" s="4" t="s">
        <v>180</v>
      </c>
      <c r="B37" s="7" t="e">
        <f>上年累计+当年新增</f>
        <v>#NAME?</v>
      </c>
      <c r="C37" s="26">
        <f>C36</f>
        <v>0</v>
      </c>
      <c r="D37" s="26">
        <f t="shared" ref="D37:AM37" si="13">C37+D36</f>
        <v>8.3333333333333328E-4</v>
      </c>
      <c r="E37" s="26">
        <f t="shared" si="13"/>
        <v>2.5000000000000005E-3</v>
      </c>
      <c r="F37" s="26">
        <f t="shared" si="13"/>
        <v>5.000000000000001E-3</v>
      </c>
      <c r="G37" s="26">
        <f t="shared" si="13"/>
        <v>8.333333333333335E-3</v>
      </c>
      <c r="H37" s="26">
        <f t="shared" si="13"/>
        <v>1.2500000000000001E-2</v>
      </c>
      <c r="I37" s="26">
        <f t="shared" si="13"/>
        <v>1.7500000000000002E-2</v>
      </c>
      <c r="J37" s="26">
        <f t="shared" si="13"/>
        <v>2.5500000000000002E-2</v>
      </c>
      <c r="K37" s="26">
        <f t="shared" si="13"/>
        <v>3.6500000000000005E-2</v>
      </c>
      <c r="L37" s="26">
        <f t="shared" si="13"/>
        <v>5.0500000000000003E-2</v>
      </c>
      <c r="M37" s="26">
        <f t="shared" si="13"/>
        <v>6.7500000000000004E-2</v>
      </c>
      <c r="N37" s="26">
        <f t="shared" si="13"/>
        <v>8.7500000000000008E-2</v>
      </c>
      <c r="O37" s="26">
        <f t="shared" si="13"/>
        <v>0.10950000000000001</v>
      </c>
      <c r="P37" s="26">
        <f t="shared" si="13"/>
        <v>0.13350000000000001</v>
      </c>
      <c r="Q37" s="26">
        <f t="shared" si="13"/>
        <v>0.1595</v>
      </c>
      <c r="R37" s="26">
        <f t="shared" si="13"/>
        <v>0.1875</v>
      </c>
      <c r="S37" s="26">
        <f t="shared" si="13"/>
        <v>0.2175</v>
      </c>
      <c r="T37" s="26">
        <f t="shared" si="13"/>
        <v>0.248</v>
      </c>
      <c r="U37" s="26">
        <f t="shared" si="13"/>
        <v>0.27900000000000003</v>
      </c>
      <c r="V37" s="26">
        <f t="shared" si="13"/>
        <v>0.3105</v>
      </c>
      <c r="W37" s="26">
        <f t="shared" si="13"/>
        <v>0.34250000000000003</v>
      </c>
      <c r="X37" s="26">
        <f t="shared" si="13"/>
        <v>0.375</v>
      </c>
      <c r="Y37" s="26">
        <f t="shared" si="13"/>
        <v>0.40800000000000003</v>
      </c>
      <c r="Z37" s="26">
        <f t="shared" si="13"/>
        <v>0.4415</v>
      </c>
      <c r="AA37" s="26">
        <f t="shared" si="13"/>
        <v>0.47550000000000003</v>
      </c>
      <c r="AB37" s="26">
        <f t="shared" si="13"/>
        <v>0.51</v>
      </c>
      <c r="AC37" s="26">
        <f t="shared" si="13"/>
        <v>0.54500000000000004</v>
      </c>
      <c r="AD37" s="26">
        <f t="shared" si="13"/>
        <v>0.57850000000000001</v>
      </c>
      <c r="AE37" s="26">
        <f t="shared" si="13"/>
        <v>0.61050000000000004</v>
      </c>
      <c r="AF37" s="26">
        <f t="shared" si="13"/>
        <v>0.64100000000000001</v>
      </c>
      <c r="AG37" s="26">
        <f t="shared" si="13"/>
        <v>0.67</v>
      </c>
      <c r="AH37" s="26">
        <f t="shared" si="13"/>
        <v>0.69750000000000001</v>
      </c>
      <c r="AI37" s="26">
        <f t="shared" si="13"/>
        <v>0.72350000000000003</v>
      </c>
      <c r="AJ37" s="26">
        <f t="shared" si="13"/>
        <v>0.748</v>
      </c>
      <c r="AK37" s="26">
        <f t="shared" si="13"/>
        <v>0.77100000000000002</v>
      </c>
      <c r="AL37" s="26">
        <f t="shared" si="13"/>
        <v>0.79249999999999998</v>
      </c>
      <c r="AM37" s="26">
        <f t="shared" si="13"/>
        <v>0.8125</v>
      </c>
    </row>
    <row r="38" spans="1:39" ht="15" customHeight="1">
      <c r="A38" s="7" t="s">
        <v>181</v>
      </c>
      <c r="B38" s="7" t="e">
        <f>模型累计+0.066</f>
        <v>#NAME?</v>
      </c>
      <c r="C38" s="27">
        <f t="shared" ref="C38:AM38" si="14">C37+0.066</f>
        <v>6.6000000000000003E-2</v>
      </c>
      <c r="D38" s="27">
        <f t="shared" si="14"/>
        <v>6.6833333333333342E-2</v>
      </c>
      <c r="E38" s="27">
        <f t="shared" si="14"/>
        <v>6.8500000000000005E-2</v>
      </c>
      <c r="F38" s="27">
        <f t="shared" si="14"/>
        <v>7.1000000000000008E-2</v>
      </c>
      <c r="G38" s="27">
        <f t="shared" si="14"/>
        <v>7.4333333333333335E-2</v>
      </c>
      <c r="H38" s="27">
        <f t="shared" si="14"/>
        <v>7.85E-2</v>
      </c>
      <c r="I38" s="27">
        <f t="shared" si="14"/>
        <v>8.3500000000000005E-2</v>
      </c>
      <c r="J38" s="27">
        <f t="shared" si="14"/>
        <v>9.1499999999999998E-2</v>
      </c>
      <c r="K38" s="27">
        <f t="shared" si="14"/>
        <v>0.10250000000000001</v>
      </c>
      <c r="L38" s="27">
        <f t="shared" si="14"/>
        <v>0.11650000000000001</v>
      </c>
      <c r="M38" s="27">
        <f t="shared" si="14"/>
        <v>0.13350000000000001</v>
      </c>
      <c r="N38" s="27">
        <f t="shared" si="14"/>
        <v>0.15350000000000003</v>
      </c>
      <c r="O38" s="27">
        <f t="shared" si="14"/>
        <v>0.17550000000000002</v>
      </c>
      <c r="P38" s="27">
        <f t="shared" si="14"/>
        <v>0.19950000000000001</v>
      </c>
      <c r="Q38" s="27">
        <f t="shared" si="14"/>
        <v>0.22550000000000001</v>
      </c>
      <c r="R38" s="27">
        <f t="shared" si="14"/>
        <v>0.2535</v>
      </c>
      <c r="S38" s="27">
        <f t="shared" si="14"/>
        <v>0.28349999999999997</v>
      </c>
      <c r="T38" s="27">
        <f t="shared" si="14"/>
        <v>0.314</v>
      </c>
      <c r="U38" s="27">
        <f t="shared" si="14"/>
        <v>0.34500000000000003</v>
      </c>
      <c r="V38" s="27">
        <f t="shared" si="14"/>
        <v>0.3765</v>
      </c>
      <c r="W38" s="27">
        <f t="shared" si="14"/>
        <v>0.40850000000000003</v>
      </c>
      <c r="X38" s="27">
        <f t="shared" si="14"/>
        <v>0.441</v>
      </c>
      <c r="Y38" s="27">
        <f t="shared" si="14"/>
        <v>0.47400000000000003</v>
      </c>
      <c r="Z38" s="27">
        <f t="shared" si="14"/>
        <v>0.50750000000000006</v>
      </c>
      <c r="AA38" s="27">
        <f t="shared" si="14"/>
        <v>0.54150000000000009</v>
      </c>
      <c r="AB38" s="27">
        <f t="shared" si="14"/>
        <v>0.57600000000000007</v>
      </c>
      <c r="AC38" s="27">
        <f t="shared" si="14"/>
        <v>0.61099999999999999</v>
      </c>
      <c r="AD38" s="27">
        <f t="shared" si="14"/>
        <v>0.64450000000000007</v>
      </c>
      <c r="AE38" s="27">
        <f t="shared" si="14"/>
        <v>0.6765000000000001</v>
      </c>
      <c r="AF38" s="27">
        <f t="shared" si="14"/>
        <v>0.70700000000000007</v>
      </c>
      <c r="AG38" s="27">
        <f t="shared" si="14"/>
        <v>0.73599999999999999</v>
      </c>
      <c r="AH38" s="27">
        <f t="shared" si="14"/>
        <v>0.76350000000000007</v>
      </c>
      <c r="AI38" s="27">
        <f t="shared" si="14"/>
        <v>0.78950000000000009</v>
      </c>
      <c r="AJ38" s="27">
        <f t="shared" si="14"/>
        <v>0.81400000000000006</v>
      </c>
      <c r="AK38" s="27">
        <f t="shared" si="14"/>
        <v>0.83699999999999997</v>
      </c>
      <c r="AL38" s="27">
        <f t="shared" si="14"/>
        <v>0.85850000000000004</v>
      </c>
      <c r="AM38" s="27">
        <f t="shared" si="14"/>
        <v>0.87850000000000006</v>
      </c>
    </row>
    <row r="39" spans="1:39" ht="17.5" customHeight="1">
      <c r="A39" s="34" t="s">
        <v>182</v>
      </c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6"/>
    </row>
    <row r="40" spans="1:39">
      <c r="A40" s="40" t="s">
        <v>183</v>
      </c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6"/>
    </row>
    <row r="41" spans="1:39" ht="17" customHeight="1">
      <c r="A41" s="2" t="s">
        <v>184</v>
      </c>
      <c r="B41" s="7" t="e">
        <f>粗钢产量×1.95</f>
        <v>#NAME?</v>
      </c>
      <c r="C41" s="20">
        <f t="shared" ref="C41:AM41" si="15">C13*1.95</f>
        <v>195992.55</v>
      </c>
      <c r="D41" s="20">
        <f t="shared" si="15"/>
        <v>187357.94999999998</v>
      </c>
      <c r="E41" s="20">
        <f t="shared" si="15"/>
        <v>181350</v>
      </c>
      <c r="F41" s="20">
        <f t="shared" si="15"/>
        <v>177450</v>
      </c>
      <c r="G41" s="20">
        <f t="shared" si="15"/>
        <v>173550</v>
      </c>
      <c r="H41" s="20">
        <f t="shared" si="15"/>
        <v>169650</v>
      </c>
      <c r="I41" s="20">
        <f t="shared" si="15"/>
        <v>165750</v>
      </c>
      <c r="J41" s="20">
        <f t="shared" si="15"/>
        <v>162825</v>
      </c>
      <c r="K41" s="20">
        <f t="shared" si="15"/>
        <v>159900</v>
      </c>
      <c r="L41" s="20">
        <f t="shared" si="15"/>
        <v>157560</v>
      </c>
      <c r="M41" s="20">
        <f t="shared" si="15"/>
        <v>155220</v>
      </c>
      <c r="N41" s="20">
        <f t="shared" si="15"/>
        <v>153075</v>
      </c>
      <c r="O41" s="20">
        <f t="shared" si="15"/>
        <v>151125</v>
      </c>
      <c r="P41" s="20">
        <f t="shared" si="15"/>
        <v>149175</v>
      </c>
      <c r="Q41" s="20">
        <f t="shared" si="15"/>
        <v>147225</v>
      </c>
      <c r="R41" s="20">
        <f t="shared" si="15"/>
        <v>145275</v>
      </c>
      <c r="S41" s="20">
        <f t="shared" si="15"/>
        <v>143520</v>
      </c>
      <c r="T41" s="20">
        <f t="shared" si="15"/>
        <v>141960</v>
      </c>
      <c r="U41" s="20">
        <f t="shared" si="15"/>
        <v>140400</v>
      </c>
      <c r="V41" s="20">
        <f t="shared" si="15"/>
        <v>139035</v>
      </c>
      <c r="W41" s="20">
        <f t="shared" si="15"/>
        <v>137670</v>
      </c>
      <c r="X41" s="20">
        <f t="shared" si="15"/>
        <v>136305</v>
      </c>
      <c r="Y41" s="20">
        <f t="shared" si="15"/>
        <v>135135</v>
      </c>
      <c r="Z41" s="20">
        <f t="shared" si="15"/>
        <v>133965</v>
      </c>
      <c r="AA41" s="20">
        <f t="shared" si="15"/>
        <v>132990</v>
      </c>
      <c r="AB41" s="20">
        <f t="shared" si="15"/>
        <v>132015</v>
      </c>
      <c r="AC41" s="20">
        <f t="shared" si="15"/>
        <v>131040</v>
      </c>
      <c r="AD41" s="20">
        <f t="shared" si="15"/>
        <v>129870</v>
      </c>
      <c r="AE41" s="20">
        <f t="shared" si="15"/>
        <v>128700</v>
      </c>
      <c r="AF41" s="20">
        <f t="shared" si="15"/>
        <v>127530</v>
      </c>
      <c r="AG41" s="20">
        <f t="shared" si="15"/>
        <v>126360</v>
      </c>
      <c r="AH41" s="20">
        <f t="shared" si="15"/>
        <v>125190</v>
      </c>
      <c r="AI41" s="20">
        <f t="shared" si="15"/>
        <v>124020</v>
      </c>
      <c r="AJ41" s="20">
        <f t="shared" si="15"/>
        <v>122850</v>
      </c>
      <c r="AK41" s="20">
        <f t="shared" si="15"/>
        <v>121875</v>
      </c>
      <c r="AL41" s="20">
        <f t="shared" si="15"/>
        <v>120900</v>
      </c>
      <c r="AM41" s="20">
        <f t="shared" si="15"/>
        <v>120120</v>
      </c>
    </row>
    <row r="42" spans="1:39" ht="17" customHeight="1">
      <c r="A42" s="2" t="s">
        <v>185</v>
      </c>
      <c r="B42" s="7" t="e">
        <f>基准产量×1.95-当年曲线</f>
        <v>#NAME?</v>
      </c>
      <c r="C42" s="20">
        <f t="shared" ref="C42:AM42" si="16">100509*1.95-C41</f>
        <v>0</v>
      </c>
      <c r="D42" s="20">
        <f t="shared" si="16"/>
        <v>8634.6000000000058</v>
      </c>
      <c r="E42" s="20">
        <f t="shared" si="16"/>
        <v>14642.549999999988</v>
      </c>
      <c r="F42" s="20">
        <f t="shared" si="16"/>
        <v>18542.549999999988</v>
      </c>
      <c r="G42" s="20">
        <f t="shared" si="16"/>
        <v>22442.549999999988</v>
      </c>
      <c r="H42" s="20">
        <f t="shared" si="16"/>
        <v>26342.549999999988</v>
      </c>
      <c r="I42" s="20">
        <f t="shared" si="16"/>
        <v>30242.549999999988</v>
      </c>
      <c r="J42" s="20">
        <f t="shared" si="16"/>
        <v>33167.549999999988</v>
      </c>
      <c r="K42" s="20">
        <f t="shared" si="16"/>
        <v>36092.549999999988</v>
      </c>
      <c r="L42" s="20">
        <f t="shared" si="16"/>
        <v>38432.549999999988</v>
      </c>
      <c r="M42" s="20">
        <f t="shared" si="16"/>
        <v>40772.549999999988</v>
      </c>
      <c r="N42" s="20">
        <f t="shared" si="16"/>
        <v>42917.549999999988</v>
      </c>
      <c r="O42" s="20">
        <f t="shared" si="16"/>
        <v>44867.549999999988</v>
      </c>
      <c r="P42" s="20">
        <f t="shared" si="16"/>
        <v>46817.549999999988</v>
      </c>
      <c r="Q42" s="20">
        <f t="shared" si="16"/>
        <v>48767.549999999988</v>
      </c>
      <c r="R42" s="20">
        <f t="shared" si="16"/>
        <v>50717.549999999988</v>
      </c>
      <c r="S42" s="20">
        <f t="shared" si="16"/>
        <v>52472.549999999988</v>
      </c>
      <c r="T42" s="20">
        <f t="shared" si="16"/>
        <v>54032.549999999988</v>
      </c>
      <c r="U42" s="20">
        <f t="shared" si="16"/>
        <v>55592.549999999988</v>
      </c>
      <c r="V42" s="20">
        <f t="shared" si="16"/>
        <v>56957.549999999988</v>
      </c>
      <c r="W42" s="20">
        <f t="shared" si="16"/>
        <v>58322.549999999988</v>
      </c>
      <c r="X42" s="20">
        <f t="shared" si="16"/>
        <v>59687.549999999988</v>
      </c>
      <c r="Y42" s="20">
        <f t="shared" si="16"/>
        <v>60857.549999999988</v>
      </c>
      <c r="Z42" s="20">
        <f t="shared" si="16"/>
        <v>62027.549999999988</v>
      </c>
      <c r="AA42" s="20">
        <f t="shared" si="16"/>
        <v>63002.549999999988</v>
      </c>
      <c r="AB42" s="20">
        <f t="shared" si="16"/>
        <v>63977.549999999988</v>
      </c>
      <c r="AC42" s="20">
        <f t="shared" si="16"/>
        <v>64952.549999999988</v>
      </c>
      <c r="AD42" s="20">
        <f t="shared" si="16"/>
        <v>66122.549999999988</v>
      </c>
      <c r="AE42" s="20">
        <f t="shared" si="16"/>
        <v>67292.549999999988</v>
      </c>
      <c r="AF42" s="20">
        <f t="shared" si="16"/>
        <v>68462.549999999988</v>
      </c>
      <c r="AG42" s="20">
        <f t="shared" si="16"/>
        <v>69632.549999999988</v>
      </c>
      <c r="AH42" s="20">
        <f t="shared" si="16"/>
        <v>70802.549999999988</v>
      </c>
      <c r="AI42" s="20">
        <f t="shared" si="16"/>
        <v>71972.549999999988</v>
      </c>
      <c r="AJ42" s="20">
        <f t="shared" si="16"/>
        <v>73142.549999999988</v>
      </c>
      <c r="AK42" s="20">
        <f t="shared" si="16"/>
        <v>74117.549999999988</v>
      </c>
      <c r="AL42" s="20">
        <f t="shared" si="16"/>
        <v>75092.549999999988</v>
      </c>
      <c r="AM42" s="20">
        <f t="shared" si="16"/>
        <v>75872.549999999988</v>
      </c>
    </row>
    <row r="43" spans="1:39">
      <c r="A43" s="40" t="s">
        <v>186</v>
      </c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6"/>
    </row>
    <row r="44" spans="1:39" ht="17" customHeight="1">
      <c r="A44" s="2" t="s">
        <v>187</v>
      </c>
      <c r="B44" s="7"/>
      <c r="C44" s="20">
        <f t="shared" ref="C44:AM44" si="17">((C28-38394.44)/1.1)*(1.8-0.45)</f>
        <v>-2.4545454639750956E-3</v>
      </c>
      <c r="D44" s="20">
        <f t="shared" si="17"/>
        <v>-1407.7296818181783</v>
      </c>
      <c r="E44" s="20">
        <f t="shared" si="17"/>
        <v>-2226.8127272727302</v>
      </c>
      <c r="F44" s="20">
        <f t="shared" si="17"/>
        <v>-2559.4036363636392</v>
      </c>
      <c r="G44" s="20">
        <f t="shared" si="17"/>
        <v>-2919.8127272727361</v>
      </c>
      <c r="H44" s="20">
        <f t="shared" si="17"/>
        <v>-3308.0400000000027</v>
      </c>
      <c r="I44" s="20">
        <f t="shared" si="17"/>
        <v>-3724.0854545454572</v>
      </c>
      <c r="J44" s="20">
        <f t="shared" si="17"/>
        <v>-3424.1400000000008</v>
      </c>
      <c r="K44" s="20">
        <f t="shared" si="17"/>
        <v>-3162.4854545454591</v>
      </c>
      <c r="L44" s="20">
        <f t="shared" si="17"/>
        <v>-2774.4709090909096</v>
      </c>
      <c r="M44" s="20">
        <f t="shared" si="17"/>
        <v>-2417.0890909090949</v>
      </c>
      <c r="N44" s="20">
        <f t="shared" si="17"/>
        <v>-2032.9036363636392</v>
      </c>
      <c r="O44" s="20">
        <f t="shared" si="17"/>
        <v>-1237.6309090909119</v>
      </c>
      <c r="P44" s="20">
        <f t="shared" si="17"/>
        <v>-477.7036363636339</v>
      </c>
      <c r="Q44" s="20">
        <f t="shared" si="17"/>
        <v>246.87818181817715</v>
      </c>
      <c r="R44" s="20">
        <f t="shared" si="17"/>
        <v>936.11454545453898</v>
      </c>
      <c r="S44" s="20">
        <f t="shared" si="17"/>
        <v>1656.2781818181791</v>
      </c>
      <c r="T44" s="20">
        <f t="shared" si="17"/>
        <v>1948.0745454545449</v>
      </c>
      <c r="U44" s="20">
        <f t="shared" si="17"/>
        <v>2221.8054545454552</v>
      </c>
      <c r="V44" s="20">
        <f t="shared" si="17"/>
        <v>2547.1309090909031</v>
      </c>
      <c r="W44" s="20">
        <f t="shared" si="17"/>
        <v>2856.6490909090812</v>
      </c>
      <c r="X44" s="20">
        <f t="shared" si="17"/>
        <v>3150.3599999999897</v>
      </c>
      <c r="Y44" s="20">
        <f t="shared" si="17"/>
        <v>3501.310909090907</v>
      </c>
      <c r="Z44" s="20">
        <f t="shared" si="17"/>
        <v>3838.7127272727225</v>
      </c>
      <c r="AA44" s="20">
        <f t="shared" si="17"/>
        <v>4237.8709090909106</v>
      </c>
      <c r="AB44" s="20">
        <f t="shared" si="17"/>
        <v>4625.7381818181848</v>
      </c>
      <c r="AC44" s="20">
        <f t="shared" si="17"/>
        <v>5002.3145454545438</v>
      </c>
      <c r="AD44" s="20">
        <f t="shared" si="17"/>
        <v>5256.212727272723</v>
      </c>
      <c r="AE44" s="20">
        <f t="shared" si="17"/>
        <v>5497.150909090913</v>
      </c>
      <c r="AF44" s="20">
        <f t="shared" si="17"/>
        <v>5725.1290909090976</v>
      </c>
      <c r="AG44" s="20">
        <f t="shared" si="17"/>
        <v>5940.1472727272758</v>
      </c>
      <c r="AH44" s="20">
        <f t="shared" si="17"/>
        <v>6142.2054545454566</v>
      </c>
      <c r="AI44" s="20">
        <f t="shared" si="17"/>
        <v>6331.303636363632</v>
      </c>
      <c r="AJ44" s="20">
        <f t="shared" si="17"/>
        <v>6507.4418181818182</v>
      </c>
      <c r="AK44" s="20">
        <f t="shared" si="17"/>
        <v>6756.8236363636424</v>
      </c>
      <c r="AL44" s="20">
        <f t="shared" si="17"/>
        <v>6995.4054545454528</v>
      </c>
      <c r="AM44" s="20">
        <f t="shared" si="17"/>
        <v>7311.5509090909063</v>
      </c>
    </row>
    <row r="45" spans="1:39" ht="17" customHeight="1">
      <c r="A45" s="2" t="s">
        <v>188</v>
      </c>
      <c r="B45" s="7" t="e">
        <f>产量曲线-原料降碳</f>
        <v>#NAME?</v>
      </c>
      <c r="C45" s="20">
        <f t="shared" ref="C45:AM45" si="18">C41-C44</f>
        <v>195992.55245454545</v>
      </c>
      <c r="D45" s="20">
        <f t="shared" si="18"/>
        <v>188765.67968181815</v>
      </c>
      <c r="E45" s="20">
        <f t="shared" si="18"/>
        <v>183576.81272727274</v>
      </c>
      <c r="F45" s="20">
        <f t="shared" si="18"/>
        <v>180009.40363636363</v>
      </c>
      <c r="G45" s="20">
        <f t="shared" si="18"/>
        <v>176469.81272727274</v>
      </c>
      <c r="H45" s="20">
        <f t="shared" si="18"/>
        <v>172958.04</v>
      </c>
      <c r="I45" s="20">
        <f t="shared" si="18"/>
        <v>169474.08545454545</v>
      </c>
      <c r="J45" s="20">
        <f t="shared" si="18"/>
        <v>166249.14000000001</v>
      </c>
      <c r="K45" s="20">
        <f t="shared" si="18"/>
        <v>163062.48545454547</v>
      </c>
      <c r="L45" s="20">
        <f t="shared" si="18"/>
        <v>160334.47090909092</v>
      </c>
      <c r="M45" s="20">
        <f t="shared" si="18"/>
        <v>157637.08909090908</v>
      </c>
      <c r="N45" s="20">
        <f t="shared" si="18"/>
        <v>155107.90363636363</v>
      </c>
      <c r="O45" s="20">
        <f t="shared" si="18"/>
        <v>152362.63090909092</v>
      </c>
      <c r="P45" s="20">
        <f t="shared" si="18"/>
        <v>149652.70363636364</v>
      </c>
      <c r="Q45" s="20">
        <f t="shared" si="18"/>
        <v>146978.12181818183</v>
      </c>
      <c r="R45" s="20">
        <f t="shared" si="18"/>
        <v>144338.88545454547</v>
      </c>
      <c r="S45" s="20">
        <f t="shared" si="18"/>
        <v>141863.72181818183</v>
      </c>
      <c r="T45" s="20">
        <f t="shared" si="18"/>
        <v>140011.92545454545</v>
      </c>
      <c r="U45" s="20">
        <f t="shared" si="18"/>
        <v>138178.19454545455</v>
      </c>
      <c r="V45" s="20">
        <f t="shared" si="18"/>
        <v>136487.86909090911</v>
      </c>
      <c r="W45" s="20">
        <f t="shared" si="18"/>
        <v>134813.35090909092</v>
      </c>
      <c r="X45" s="20">
        <f t="shared" si="18"/>
        <v>133154.64000000001</v>
      </c>
      <c r="Y45" s="20">
        <f t="shared" si="18"/>
        <v>131633.68909090909</v>
      </c>
      <c r="Z45" s="20">
        <f t="shared" si="18"/>
        <v>130126.28727272728</v>
      </c>
      <c r="AA45" s="20">
        <f t="shared" si="18"/>
        <v>128752.12909090909</v>
      </c>
      <c r="AB45" s="20">
        <f t="shared" si="18"/>
        <v>127389.26181818181</v>
      </c>
      <c r="AC45" s="20">
        <f t="shared" si="18"/>
        <v>126037.68545454546</v>
      </c>
      <c r="AD45" s="20">
        <f t="shared" si="18"/>
        <v>124613.78727272728</v>
      </c>
      <c r="AE45" s="20">
        <f t="shared" si="18"/>
        <v>123202.84909090909</v>
      </c>
      <c r="AF45" s="20">
        <f t="shared" si="18"/>
        <v>121804.8709090909</v>
      </c>
      <c r="AG45" s="20">
        <f t="shared" si="18"/>
        <v>120419.85272727272</v>
      </c>
      <c r="AH45" s="20">
        <f t="shared" si="18"/>
        <v>119047.79454545454</v>
      </c>
      <c r="AI45" s="20">
        <f t="shared" si="18"/>
        <v>117688.69636363637</v>
      </c>
      <c r="AJ45" s="20">
        <f t="shared" si="18"/>
        <v>116342.55818181818</v>
      </c>
      <c r="AK45" s="20">
        <f t="shared" si="18"/>
        <v>115118.17636363636</v>
      </c>
      <c r="AL45" s="20">
        <f t="shared" si="18"/>
        <v>113904.59454545454</v>
      </c>
      <c r="AM45" s="20">
        <f t="shared" si="18"/>
        <v>112808.4490909091</v>
      </c>
    </row>
    <row r="46" spans="1:39">
      <c r="A46" s="40" t="s">
        <v>189</v>
      </c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6"/>
    </row>
    <row r="47" spans="1:39" ht="17" customHeight="1">
      <c r="A47" s="2" t="s">
        <v>190</v>
      </c>
      <c r="B47" s="7"/>
      <c r="C47" s="20">
        <f t="shared" ref="C47:AM47" si="19">(C25-11055.99)*1.26</f>
        <v>0</v>
      </c>
      <c r="D47" s="20">
        <f t="shared" si="19"/>
        <v>274.06764000000589</v>
      </c>
      <c r="E47" s="20">
        <f t="shared" si="19"/>
        <v>677.89259999999797</v>
      </c>
      <c r="F47" s="20">
        <f t="shared" si="19"/>
        <v>1204.5726000000025</v>
      </c>
      <c r="G47" s="20">
        <f t="shared" si="19"/>
        <v>1694.2926000000041</v>
      </c>
      <c r="H47" s="20">
        <f t="shared" si="19"/>
        <v>2147.0525999999982</v>
      </c>
      <c r="I47" s="20">
        <f t="shared" si="19"/>
        <v>2562.8526000000024</v>
      </c>
      <c r="J47" s="20">
        <f t="shared" si="19"/>
        <v>3660.5646000000011</v>
      </c>
      <c r="K47" s="20">
        <f t="shared" si="19"/>
        <v>4708.3805999999995</v>
      </c>
      <c r="L47" s="20">
        <f t="shared" si="19"/>
        <v>5779.4814000000015</v>
      </c>
      <c r="M47" s="20">
        <f t="shared" si="19"/>
        <v>6810.665399999999</v>
      </c>
      <c r="N47" s="20">
        <f t="shared" si="19"/>
        <v>7829.6526000000003</v>
      </c>
      <c r="O47" s="20">
        <f t="shared" si="19"/>
        <v>9271.0925999999999</v>
      </c>
      <c r="P47" s="20">
        <f t="shared" si="19"/>
        <v>10668.180600000003</v>
      </c>
      <c r="Q47" s="20">
        <f t="shared" si="19"/>
        <v>12020.916600000002</v>
      </c>
      <c r="R47" s="20">
        <f t="shared" si="19"/>
        <v>13329.300600000004</v>
      </c>
      <c r="S47" s="20">
        <f t="shared" si="19"/>
        <v>14632.140600000004</v>
      </c>
      <c r="T47" s="20">
        <f t="shared" si="19"/>
        <v>15330.684600000001</v>
      </c>
      <c r="U47" s="20">
        <f t="shared" si="19"/>
        <v>16007.052600000005</v>
      </c>
      <c r="V47" s="20">
        <f t="shared" si="19"/>
        <v>16704.210600000006</v>
      </c>
      <c r="W47" s="20">
        <f t="shared" si="19"/>
        <v>17381.964600000003</v>
      </c>
      <c r="X47" s="20">
        <f t="shared" si="19"/>
        <v>18040.314600000002</v>
      </c>
      <c r="Y47" s="20">
        <f t="shared" si="19"/>
        <v>18726.384600000001</v>
      </c>
      <c r="Z47" s="20">
        <f t="shared" si="19"/>
        <v>19395.822600000007</v>
      </c>
      <c r="AA47" s="20">
        <f t="shared" si="19"/>
        <v>20098.524600000001</v>
      </c>
      <c r="AB47" s="20">
        <f t="shared" si="19"/>
        <v>20787.366600000005</v>
      </c>
      <c r="AC47" s="20">
        <f t="shared" si="19"/>
        <v>21462.348600000001</v>
      </c>
      <c r="AD47" s="20">
        <f t="shared" si="19"/>
        <v>22069.416600000004</v>
      </c>
      <c r="AE47" s="20">
        <f t="shared" si="19"/>
        <v>22659.852600000002</v>
      </c>
      <c r="AF47" s="20">
        <f t="shared" si="19"/>
        <v>23233.656600000006</v>
      </c>
      <c r="AG47" s="20">
        <f t="shared" si="19"/>
        <v>23790.828600000001</v>
      </c>
      <c r="AH47" s="20">
        <f t="shared" si="19"/>
        <v>24331.368600000002</v>
      </c>
      <c r="AI47" s="20">
        <f t="shared" si="19"/>
        <v>24855.276600000005</v>
      </c>
      <c r="AJ47" s="20">
        <f t="shared" si="19"/>
        <v>25362.552600000003</v>
      </c>
      <c r="AK47" s="20">
        <f t="shared" si="19"/>
        <v>25916.952600000004</v>
      </c>
      <c r="AL47" s="20">
        <f t="shared" si="19"/>
        <v>26457.492600000001</v>
      </c>
      <c r="AM47" s="20">
        <f t="shared" si="19"/>
        <v>27050.700600000007</v>
      </c>
    </row>
    <row r="48" spans="1:39" ht="17" customHeight="1">
      <c r="A48" s="2" t="s">
        <v>191</v>
      </c>
      <c r="B48" s="7" t="e">
        <f>原料曲线-短流程降碳</f>
        <v>#NAME?</v>
      </c>
      <c r="C48" s="20">
        <f t="shared" ref="C48:AM48" si="20">C45-C47</f>
        <v>195992.55245454545</v>
      </c>
      <c r="D48" s="20">
        <f t="shared" si="20"/>
        <v>188491.61204181815</v>
      </c>
      <c r="E48" s="20">
        <f t="shared" si="20"/>
        <v>182898.92012727275</v>
      </c>
      <c r="F48" s="20">
        <f t="shared" si="20"/>
        <v>178804.83103636361</v>
      </c>
      <c r="G48" s="20">
        <f t="shared" si="20"/>
        <v>174775.52012727273</v>
      </c>
      <c r="H48" s="20">
        <f t="shared" si="20"/>
        <v>170810.98740000001</v>
      </c>
      <c r="I48" s="20">
        <f t="shared" si="20"/>
        <v>166911.23285454544</v>
      </c>
      <c r="J48" s="20">
        <f t="shared" si="20"/>
        <v>162588.5754</v>
      </c>
      <c r="K48" s="20">
        <f t="shared" si="20"/>
        <v>158354.10485454547</v>
      </c>
      <c r="L48" s="20">
        <f t="shared" si="20"/>
        <v>154554.98950909093</v>
      </c>
      <c r="M48" s="20">
        <f t="shared" si="20"/>
        <v>150826.42369090908</v>
      </c>
      <c r="N48" s="20">
        <f t="shared" si="20"/>
        <v>147278.25103636362</v>
      </c>
      <c r="O48" s="20">
        <f t="shared" si="20"/>
        <v>143091.53830909092</v>
      </c>
      <c r="P48" s="20">
        <f t="shared" si="20"/>
        <v>138984.52303636365</v>
      </c>
      <c r="Q48" s="20">
        <f t="shared" si="20"/>
        <v>134957.20521818183</v>
      </c>
      <c r="R48" s="20">
        <f t="shared" si="20"/>
        <v>131009.58485454546</v>
      </c>
      <c r="S48" s="20">
        <f t="shared" si="20"/>
        <v>127231.58121818183</v>
      </c>
      <c r="T48" s="20">
        <f t="shared" si="20"/>
        <v>124681.24085454544</v>
      </c>
      <c r="U48" s="20">
        <f t="shared" si="20"/>
        <v>122171.14194545454</v>
      </c>
      <c r="V48" s="20">
        <f t="shared" si="20"/>
        <v>119783.6584909091</v>
      </c>
      <c r="W48" s="20">
        <f t="shared" si="20"/>
        <v>117431.38630909091</v>
      </c>
      <c r="X48" s="20">
        <f t="shared" si="20"/>
        <v>115114.32540000002</v>
      </c>
      <c r="Y48" s="20">
        <f t="shared" si="20"/>
        <v>112907.30449090908</v>
      </c>
      <c r="Z48" s="20">
        <f t="shared" si="20"/>
        <v>110730.46467272728</v>
      </c>
      <c r="AA48" s="20">
        <f t="shared" si="20"/>
        <v>108653.60449090909</v>
      </c>
      <c r="AB48" s="20">
        <f t="shared" si="20"/>
        <v>106601.8952181818</v>
      </c>
      <c r="AC48" s="20">
        <f t="shared" si="20"/>
        <v>104575.33685454546</v>
      </c>
      <c r="AD48" s="20">
        <f t="shared" si="20"/>
        <v>102544.37067272727</v>
      </c>
      <c r="AE48" s="20">
        <f t="shared" si="20"/>
        <v>100542.99649090909</v>
      </c>
      <c r="AF48" s="20">
        <f t="shared" si="20"/>
        <v>98571.214309090894</v>
      </c>
      <c r="AG48" s="20">
        <f t="shared" si="20"/>
        <v>96629.024127272714</v>
      </c>
      <c r="AH48" s="20">
        <f t="shared" si="20"/>
        <v>94716.425945454539</v>
      </c>
      <c r="AI48" s="20">
        <f t="shared" si="20"/>
        <v>92833.419763636368</v>
      </c>
      <c r="AJ48" s="20">
        <f t="shared" si="20"/>
        <v>90980.005581818172</v>
      </c>
      <c r="AK48" s="20">
        <f t="shared" si="20"/>
        <v>89201.223763636357</v>
      </c>
      <c r="AL48" s="20">
        <f t="shared" si="20"/>
        <v>87447.101945454546</v>
      </c>
      <c r="AM48" s="20">
        <f t="shared" si="20"/>
        <v>85757.748490909085</v>
      </c>
    </row>
    <row r="49" spans="1:39">
      <c r="A49" s="40" t="s">
        <v>192</v>
      </c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6"/>
    </row>
    <row r="50" spans="1:39" ht="17" customHeight="1">
      <c r="A50" s="2" t="s">
        <v>193</v>
      </c>
      <c r="B50" s="7"/>
      <c r="C50" s="20">
        <f t="shared" ref="C50:AM50" si="21">((C27-952.52)/1.65)*1.26</f>
        <v>2.8964727271655151E-3</v>
      </c>
      <c r="D50" s="20">
        <f t="shared" si="21"/>
        <v>83.846949327272952</v>
      </c>
      <c r="E50" s="20">
        <f t="shared" si="21"/>
        <v>170.00683636363615</v>
      </c>
      <c r="F50" s="20">
        <f t="shared" si="21"/>
        <v>260.46910909090911</v>
      </c>
      <c r="G50" s="20">
        <f t="shared" si="21"/>
        <v>346.10672727272754</v>
      </c>
      <c r="H50" s="20">
        <f t="shared" si="21"/>
        <v>426.9196909090906</v>
      </c>
      <c r="I50" s="20">
        <f t="shared" si="21"/>
        <v>502.90800000000013</v>
      </c>
      <c r="J50" s="20">
        <f t="shared" si="21"/>
        <v>722.9122472727272</v>
      </c>
      <c r="K50" s="20">
        <f t="shared" si="21"/>
        <v>934.23211636363635</v>
      </c>
      <c r="L50" s="20">
        <f t="shared" si="21"/>
        <v>1143.815109818182</v>
      </c>
      <c r="M50" s="20">
        <f t="shared" si="21"/>
        <v>1346.4506007272726</v>
      </c>
      <c r="N50" s="20">
        <f t="shared" si="21"/>
        <v>1545.0333818181819</v>
      </c>
      <c r="O50" s="20">
        <f t="shared" si="21"/>
        <v>1964.778327272727</v>
      </c>
      <c r="P50" s="20">
        <f t="shared" si="21"/>
        <v>2372.9441018181819</v>
      </c>
      <c r="Q50" s="20">
        <f t="shared" si="21"/>
        <v>2769.5307054545456</v>
      </c>
      <c r="R50" s="20">
        <f t="shared" si="21"/>
        <v>3154.5381381818179</v>
      </c>
      <c r="S50" s="20">
        <f t="shared" si="21"/>
        <v>3533.7559854545452</v>
      </c>
      <c r="T50" s="20">
        <f t="shared" si="21"/>
        <v>3803.5506676363634</v>
      </c>
      <c r="U50" s="20">
        <f t="shared" si="21"/>
        <v>4066.3978472727272</v>
      </c>
      <c r="V50" s="20">
        <f t="shared" si="21"/>
        <v>4329.3897665454542</v>
      </c>
      <c r="W50" s="20">
        <f t="shared" si="21"/>
        <v>4586.3026210909093</v>
      </c>
      <c r="X50" s="20">
        <f t="shared" si="21"/>
        <v>4837.13641090909</v>
      </c>
      <c r="Y50" s="20">
        <f t="shared" si="21"/>
        <v>5090.2860349090906</v>
      </c>
      <c r="Z50" s="20">
        <f t="shared" si="21"/>
        <v>5338.2250320000003</v>
      </c>
      <c r="AA50" s="20">
        <f t="shared" si="21"/>
        <v>5590.216738909091</v>
      </c>
      <c r="AB50" s="20">
        <f t="shared" si="21"/>
        <v>5837.8662567272731</v>
      </c>
      <c r="AC50" s="20">
        <f t="shared" si="21"/>
        <v>6081.1735854545441</v>
      </c>
      <c r="AD50" s="20">
        <f t="shared" si="21"/>
        <v>6213.1761338181823</v>
      </c>
      <c r="AE50" s="20">
        <f t="shared" si="21"/>
        <v>6341.7049309090899</v>
      </c>
      <c r="AF50" s="20">
        <f t="shared" si="21"/>
        <v>6466.7599767272723</v>
      </c>
      <c r="AG50" s="20">
        <f t="shared" si="21"/>
        <v>6588.3412712727268</v>
      </c>
      <c r="AH50" s="20">
        <f t="shared" si="21"/>
        <v>6706.4488145454534</v>
      </c>
      <c r="AI50" s="20">
        <f t="shared" si="21"/>
        <v>6821.0826065454557</v>
      </c>
      <c r="AJ50" s="20">
        <f t="shared" si="21"/>
        <v>6932.2426472727275</v>
      </c>
      <c r="AK50" s="20">
        <f t="shared" si="21"/>
        <v>7052.3765454545446</v>
      </c>
      <c r="AL50" s="20">
        <f t="shared" si="21"/>
        <v>7169.6156509090906</v>
      </c>
      <c r="AM50" s="20">
        <f t="shared" si="21"/>
        <v>7296.9865309090901</v>
      </c>
    </row>
    <row r="51" spans="1:39" ht="17" customHeight="1">
      <c r="A51" s="2" t="s">
        <v>194</v>
      </c>
      <c r="B51" s="7" t="e">
        <f>短流程曲线-氢冶金降碳</f>
        <v>#NAME?</v>
      </c>
      <c r="C51" s="20">
        <f t="shared" ref="C51:AM51" si="22">C48-C50</f>
        <v>195992.54955807273</v>
      </c>
      <c r="D51" s="20">
        <f t="shared" si="22"/>
        <v>188407.76509249088</v>
      </c>
      <c r="E51" s="20">
        <f t="shared" si="22"/>
        <v>182728.91329090911</v>
      </c>
      <c r="F51" s="20">
        <f t="shared" si="22"/>
        <v>178544.36192727269</v>
      </c>
      <c r="G51" s="20">
        <f t="shared" si="22"/>
        <v>174429.41339999999</v>
      </c>
      <c r="H51" s="20">
        <f t="shared" si="22"/>
        <v>170384.06770909092</v>
      </c>
      <c r="I51" s="20">
        <f t="shared" si="22"/>
        <v>166408.32485454544</v>
      </c>
      <c r="J51" s="20">
        <f t="shared" si="22"/>
        <v>161865.66315272727</v>
      </c>
      <c r="K51" s="20">
        <f t="shared" si="22"/>
        <v>157419.87273818185</v>
      </c>
      <c r="L51" s="20">
        <f t="shared" si="22"/>
        <v>153411.17439927274</v>
      </c>
      <c r="M51" s="20">
        <f t="shared" si="22"/>
        <v>149479.9730901818</v>
      </c>
      <c r="N51" s="20">
        <f t="shared" si="22"/>
        <v>145733.21765454544</v>
      </c>
      <c r="O51" s="20">
        <f t="shared" si="22"/>
        <v>141126.75998181818</v>
      </c>
      <c r="P51" s="20">
        <f t="shared" si="22"/>
        <v>136611.57893454548</v>
      </c>
      <c r="Q51" s="20">
        <f t="shared" si="22"/>
        <v>132187.67451272727</v>
      </c>
      <c r="R51" s="20">
        <f t="shared" si="22"/>
        <v>127855.04671636365</v>
      </c>
      <c r="S51" s="20">
        <f t="shared" si="22"/>
        <v>123697.82523272729</v>
      </c>
      <c r="T51" s="20">
        <f t="shared" si="22"/>
        <v>120877.69018690908</v>
      </c>
      <c r="U51" s="20">
        <f t="shared" si="22"/>
        <v>118104.74409818181</v>
      </c>
      <c r="V51" s="20">
        <f t="shared" si="22"/>
        <v>115454.26872436365</v>
      </c>
      <c r="W51" s="20">
        <f t="shared" si="22"/>
        <v>112845.083688</v>
      </c>
      <c r="X51" s="20">
        <f t="shared" si="22"/>
        <v>110277.18898909092</v>
      </c>
      <c r="Y51" s="20">
        <f t="shared" si="22"/>
        <v>107817.01845599999</v>
      </c>
      <c r="Z51" s="20">
        <f t="shared" si="22"/>
        <v>105392.23964072728</v>
      </c>
      <c r="AA51" s="20">
        <f t="shared" si="22"/>
        <v>103063.387752</v>
      </c>
      <c r="AB51" s="20">
        <f t="shared" si="22"/>
        <v>100764.02896145453</v>
      </c>
      <c r="AC51" s="20">
        <f t="shared" si="22"/>
        <v>98494.163269090917</v>
      </c>
      <c r="AD51" s="20">
        <f t="shared" si="22"/>
        <v>96331.194538909083</v>
      </c>
      <c r="AE51" s="20">
        <f t="shared" si="22"/>
        <v>94201.291559999998</v>
      </c>
      <c r="AF51" s="20">
        <f t="shared" si="22"/>
        <v>92104.454332363617</v>
      </c>
      <c r="AG51" s="20">
        <f t="shared" si="22"/>
        <v>90040.682855999985</v>
      </c>
      <c r="AH51" s="20">
        <f t="shared" si="22"/>
        <v>88009.977130909087</v>
      </c>
      <c r="AI51" s="20">
        <f t="shared" si="22"/>
        <v>86012.337157090908</v>
      </c>
      <c r="AJ51" s="20">
        <f t="shared" si="22"/>
        <v>84047.762934545448</v>
      </c>
      <c r="AK51" s="20">
        <f t="shared" si="22"/>
        <v>82148.847218181807</v>
      </c>
      <c r="AL51" s="20">
        <f t="shared" si="22"/>
        <v>80277.486294545452</v>
      </c>
      <c r="AM51" s="20">
        <f t="shared" si="22"/>
        <v>78460.761959999989</v>
      </c>
    </row>
    <row r="52" spans="1:39">
      <c r="A52" s="40" t="s">
        <v>195</v>
      </c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6"/>
    </row>
    <row r="53" spans="1:39" ht="17" customHeight="1">
      <c r="A53" s="2" t="s">
        <v>196</v>
      </c>
      <c r="B53" s="7" t="e">
        <f>绿电量×0.5306/1000</f>
        <v>#NAME?</v>
      </c>
      <c r="C53" s="20">
        <f t="shared" ref="C53:AM53" si="23">C33*0.5306/1000</f>
        <v>0</v>
      </c>
      <c r="D53" s="20">
        <f t="shared" si="23"/>
        <v>783.82639597499997</v>
      </c>
      <c r="E53" s="20">
        <f t="shared" si="23"/>
        <v>1519.8506399999999</v>
      </c>
      <c r="F53" s="20">
        <f t="shared" si="23"/>
        <v>2234.3698649999997</v>
      </c>
      <c r="G53" s="20">
        <f t="shared" si="23"/>
        <v>2918.4061199999992</v>
      </c>
      <c r="H53" s="20">
        <f t="shared" si="23"/>
        <v>3571.8002250000004</v>
      </c>
      <c r="I53" s="20">
        <f t="shared" si="23"/>
        <v>4194.393</v>
      </c>
      <c r="J53" s="20">
        <f t="shared" si="23"/>
        <v>4752.6966871999994</v>
      </c>
      <c r="K53" s="20">
        <f t="shared" si="23"/>
        <v>5291.9369776000003</v>
      </c>
      <c r="L53" s="20">
        <f t="shared" si="23"/>
        <v>5833.5726086399982</v>
      </c>
      <c r="M53" s="20">
        <f t="shared" si="23"/>
        <v>6360.3675699199994</v>
      </c>
      <c r="N53" s="20">
        <f t="shared" si="23"/>
        <v>6880.9269199999999</v>
      </c>
      <c r="O53" s="20">
        <f t="shared" si="23"/>
        <v>7484.770943999999</v>
      </c>
      <c r="P53" s="20">
        <f t="shared" si="23"/>
        <v>8076.2901911999998</v>
      </c>
      <c r="Q53" s="20">
        <f t="shared" si="23"/>
        <v>8655.2681768000002</v>
      </c>
      <c r="R53" s="20">
        <f t="shared" si="23"/>
        <v>9221.4884160000001</v>
      </c>
      <c r="S53" s="20">
        <f t="shared" si="23"/>
        <v>9788.033382399999</v>
      </c>
      <c r="T53" s="20">
        <f t="shared" si="23"/>
        <v>10081.129181759999</v>
      </c>
      <c r="U53" s="20">
        <f t="shared" si="23"/>
        <v>10367.431603200001</v>
      </c>
      <c r="V53" s="20">
        <f t="shared" si="23"/>
        <v>10661.827903159998</v>
      </c>
      <c r="W53" s="20">
        <f t="shared" si="23"/>
        <v>10950.412435199998</v>
      </c>
      <c r="X53" s="20">
        <f t="shared" si="23"/>
        <v>11233.127257799999</v>
      </c>
      <c r="Y53" s="20">
        <f t="shared" si="23"/>
        <v>11526.54725376</v>
      </c>
      <c r="Z53" s="20">
        <f t="shared" si="23"/>
        <v>11815.112259719997</v>
      </c>
      <c r="AA53" s="20">
        <f t="shared" si="23"/>
        <v>12116.538797439998</v>
      </c>
      <c r="AB53" s="20">
        <f t="shared" si="23"/>
        <v>12414.152655800001</v>
      </c>
      <c r="AC53" s="20">
        <f t="shared" si="23"/>
        <v>12707.912447999999</v>
      </c>
      <c r="AD53" s="20">
        <f t="shared" si="23"/>
        <v>12905.536073471998</v>
      </c>
      <c r="AE53" s="20">
        <f t="shared" si="23"/>
        <v>13098.89927808</v>
      </c>
      <c r="AF53" s="20">
        <f t="shared" si="23"/>
        <v>13287.965386751999</v>
      </c>
      <c r="AG53" s="20">
        <f t="shared" si="23"/>
        <v>13472.697724415999</v>
      </c>
      <c r="AH53" s="20">
        <f t="shared" si="23"/>
        <v>13653.059615999999</v>
      </c>
      <c r="AI53" s="20">
        <f t="shared" si="23"/>
        <v>13829.014386431998</v>
      </c>
      <c r="AJ53" s="20">
        <f t="shared" si="23"/>
        <v>14000.525360639998</v>
      </c>
      <c r="AK53" s="20">
        <f t="shared" si="23"/>
        <v>14190.260279999999</v>
      </c>
      <c r="AL53" s="20">
        <f t="shared" si="23"/>
        <v>14376.444848639998</v>
      </c>
      <c r="AM53" s="20">
        <f t="shared" si="23"/>
        <v>14582.721753599999</v>
      </c>
    </row>
    <row r="54" spans="1:39" ht="17" customHeight="1">
      <c r="A54" s="2" t="s">
        <v>197</v>
      </c>
      <c r="B54" s="7" t="e">
        <f>氢冶金曲线-绿电降碳</f>
        <v>#NAME?</v>
      </c>
      <c r="C54" s="20">
        <f t="shared" ref="C54:AM54" si="24">C51-C53</f>
        <v>195992.54955807273</v>
      </c>
      <c r="D54" s="20">
        <f t="shared" si="24"/>
        <v>187623.93869651589</v>
      </c>
      <c r="E54" s="20">
        <f t="shared" si="24"/>
        <v>181209.06265090912</v>
      </c>
      <c r="F54" s="20">
        <f t="shared" si="24"/>
        <v>176309.99206227271</v>
      </c>
      <c r="G54" s="20">
        <f t="shared" si="24"/>
        <v>171511.00727999999</v>
      </c>
      <c r="H54" s="20">
        <f t="shared" si="24"/>
        <v>166812.2674840909</v>
      </c>
      <c r="I54" s="20">
        <f t="shared" si="24"/>
        <v>162213.93185454543</v>
      </c>
      <c r="J54" s="20">
        <f t="shared" si="24"/>
        <v>157112.96646552728</v>
      </c>
      <c r="K54" s="20">
        <f t="shared" si="24"/>
        <v>152127.93576058184</v>
      </c>
      <c r="L54" s="20">
        <f t="shared" si="24"/>
        <v>147577.60179063273</v>
      </c>
      <c r="M54" s="20">
        <f t="shared" si="24"/>
        <v>143119.6055202618</v>
      </c>
      <c r="N54" s="20">
        <f t="shared" si="24"/>
        <v>138852.29073454544</v>
      </c>
      <c r="O54" s="20">
        <f t="shared" si="24"/>
        <v>133641.98903781819</v>
      </c>
      <c r="P54" s="20">
        <f t="shared" si="24"/>
        <v>128535.28874334549</v>
      </c>
      <c r="Q54" s="20">
        <f t="shared" si="24"/>
        <v>123532.40633592727</v>
      </c>
      <c r="R54" s="20">
        <f t="shared" si="24"/>
        <v>118633.55830036366</v>
      </c>
      <c r="S54" s="20">
        <f t="shared" si="24"/>
        <v>113909.7918503273</v>
      </c>
      <c r="T54" s="20">
        <f t="shared" si="24"/>
        <v>110796.56100514908</v>
      </c>
      <c r="U54" s="20">
        <f t="shared" si="24"/>
        <v>107737.3124949818</v>
      </c>
      <c r="V54" s="20">
        <f t="shared" si="24"/>
        <v>104792.44082120365</v>
      </c>
      <c r="W54" s="20">
        <f t="shared" si="24"/>
        <v>101894.67125280001</v>
      </c>
      <c r="X54" s="20">
        <f t="shared" si="24"/>
        <v>99044.061731290916</v>
      </c>
      <c r="Y54" s="20">
        <f t="shared" si="24"/>
        <v>96290.471202239991</v>
      </c>
      <c r="Z54" s="20">
        <f t="shared" si="24"/>
        <v>93577.127381007274</v>
      </c>
      <c r="AA54" s="20">
        <f t="shared" si="24"/>
        <v>90946.848954560002</v>
      </c>
      <c r="AB54" s="20">
        <f t="shared" si="24"/>
        <v>88349.876305654529</v>
      </c>
      <c r="AC54" s="20">
        <f t="shared" si="24"/>
        <v>85786.250821090915</v>
      </c>
      <c r="AD54" s="20">
        <f t="shared" si="24"/>
        <v>83425.658465437082</v>
      </c>
      <c r="AE54" s="20">
        <f t="shared" si="24"/>
        <v>81102.392281919994</v>
      </c>
      <c r="AF54" s="20">
        <f t="shared" si="24"/>
        <v>78816.488945611622</v>
      </c>
      <c r="AG54" s="20">
        <f t="shared" si="24"/>
        <v>76567.985131583991</v>
      </c>
      <c r="AH54" s="20">
        <f t="shared" si="24"/>
        <v>74356.917514909088</v>
      </c>
      <c r="AI54" s="20">
        <f t="shared" si="24"/>
        <v>72183.32277065891</v>
      </c>
      <c r="AJ54" s="20">
        <f t="shared" si="24"/>
        <v>70047.237573905455</v>
      </c>
      <c r="AK54" s="20">
        <f t="shared" si="24"/>
        <v>67958.586938181805</v>
      </c>
      <c r="AL54" s="20">
        <f t="shared" si="24"/>
        <v>65901.041445905459</v>
      </c>
      <c r="AM54" s="20">
        <f t="shared" si="24"/>
        <v>63878.040206399994</v>
      </c>
    </row>
    <row r="55" spans="1:39">
      <c r="A55" s="40" t="s">
        <v>198</v>
      </c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6"/>
    </row>
    <row r="56" spans="1:39" ht="17" customHeight="1">
      <c r="A56" s="2" t="s">
        <v>199</v>
      </c>
      <c r="B56" s="7" t="e">
        <f>产量×累计技术潜力</f>
        <v>#NAME?</v>
      </c>
      <c r="C56" s="20">
        <f t="shared" ref="C56:AM56" si="25">C13*C37</f>
        <v>0</v>
      </c>
      <c r="D56" s="20">
        <f t="shared" si="25"/>
        <v>80.067499999999995</v>
      </c>
      <c r="E56" s="20">
        <f t="shared" si="25"/>
        <v>232.50000000000006</v>
      </c>
      <c r="F56" s="20">
        <f t="shared" si="25"/>
        <v>455.00000000000011</v>
      </c>
      <c r="G56" s="20">
        <f t="shared" si="25"/>
        <v>741.66666666666686</v>
      </c>
      <c r="H56" s="20">
        <f t="shared" si="25"/>
        <v>1087.5</v>
      </c>
      <c r="I56" s="20">
        <f t="shared" si="25"/>
        <v>1487.5000000000002</v>
      </c>
      <c r="J56" s="20">
        <f t="shared" si="25"/>
        <v>2129.25</v>
      </c>
      <c r="K56" s="20">
        <f t="shared" si="25"/>
        <v>2993.0000000000005</v>
      </c>
      <c r="L56" s="20">
        <f t="shared" si="25"/>
        <v>4080.4</v>
      </c>
      <c r="M56" s="20">
        <f t="shared" si="25"/>
        <v>5373</v>
      </c>
      <c r="N56" s="20">
        <f t="shared" si="25"/>
        <v>6868.7500000000009</v>
      </c>
      <c r="O56" s="20">
        <f t="shared" si="25"/>
        <v>8486.2500000000018</v>
      </c>
      <c r="P56" s="20">
        <f t="shared" si="25"/>
        <v>10212.75</v>
      </c>
      <c r="Q56" s="20">
        <f t="shared" si="25"/>
        <v>12042.25</v>
      </c>
      <c r="R56" s="20">
        <f t="shared" si="25"/>
        <v>13968.75</v>
      </c>
      <c r="S56" s="20">
        <f t="shared" si="25"/>
        <v>16008</v>
      </c>
      <c r="T56" s="20">
        <f t="shared" si="25"/>
        <v>18054.400000000001</v>
      </c>
      <c r="U56" s="20">
        <f t="shared" si="25"/>
        <v>20088.000000000004</v>
      </c>
      <c r="V56" s="20">
        <f t="shared" si="25"/>
        <v>22138.65</v>
      </c>
      <c r="W56" s="20">
        <f t="shared" si="25"/>
        <v>24180.500000000004</v>
      </c>
      <c r="X56" s="20">
        <f t="shared" si="25"/>
        <v>26212.5</v>
      </c>
      <c r="Y56" s="20">
        <f t="shared" si="25"/>
        <v>28274.400000000001</v>
      </c>
      <c r="Z56" s="20">
        <f t="shared" si="25"/>
        <v>30331.05</v>
      </c>
      <c r="AA56" s="20">
        <f t="shared" si="25"/>
        <v>32429.100000000002</v>
      </c>
      <c r="AB56" s="20">
        <f t="shared" si="25"/>
        <v>34527</v>
      </c>
      <c r="AC56" s="20">
        <f t="shared" si="25"/>
        <v>36624</v>
      </c>
      <c r="AD56" s="20">
        <f t="shared" si="25"/>
        <v>38528.1</v>
      </c>
      <c r="AE56" s="20">
        <f t="shared" si="25"/>
        <v>40293</v>
      </c>
      <c r="AF56" s="20">
        <f t="shared" si="25"/>
        <v>41921.4</v>
      </c>
      <c r="AG56" s="20">
        <f t="shared" si="25"/>
        <v>43416</v>
      </c>
      <c r="AH56" s="20">
        <f t="shared" si="25"/>
        <v>44779.5</v>
      </c>
      <c r="AI56" s="20">
        <f t="shared" si="25"/>
        <v>46014.6</v>
      </c>
      <c r="AJ56" s="20">
        <f t="shared" si="25"/>
        <v>47124</v>
      </c>
      <c r="AK56" s="20">
        <f t="shared" si="25"/>
        <v>48187.5</v>
      </c>
      <c r="AL56" s="20">
        <f t="shared" si="25"/>
        <v>49135</v>
      </c>
      <c r="AM56" s="20">
        <f t="shared" si="25"/>
        <v>50050</v>
      </c>
    </row>
    <row r="57" spans="1:39" ht="17" customHeight="1">
      <c r="A57" s="2" t="s">
        <v>200</v>
      </c>
      <c r="B57" s="7" t="e">
        <f>能源曲线-技术降碳</f>
        <v>#NAME?</v>
      </c>
      <c r="C57" s="20">
        <f t="shared" ref="C57:AM57" si="26">C54-C56</f>
        <v>195992.54955807273</v>
      </c>
      <c r="D57" s="20">
        <f t="shared" si="26"/>
        <v>187543.87119651589</v>
      </c>
      <c r="E57" s="20">
        <f t="shared" si="26"/>
        <v>180976.56265090912</v>
      </c>
      <c r="F57" s="20">
        <f t="shared" si="26"/>
        <v>175854.99206227271</v>
      </c>
      <c r="G57" s="20">
        <f t="shared" si="26"/>
        <v>170769.34061333333</v>
      </c>
      <c r="H57" s="20">
        <f t="shared" si="26"/>
        <v>165724.7674840909</v>
      </c>
      <c r="I57" s="20">
        <f t="shared" si="26"/>
        <v>160726.43185454543</v>
      </c>
      <c r="J57" s="20">
        <f t="shared" si="26"/>
        <v>154983.71646552728</v>
      </c>
      <c r="K57" s="20">
        <f t="shared" si="26"/>
        <v>149134.93576058184</v>
      </c>
      <c r="L57" s="20">
        <f t="shared" si="26"/>
        <v>143497.20179063274</v>
      </c>
      <c r="M57" s="20">
        <f t="shared" si="26"/>
        <v>137746.6055202618</v>
      </c>
      <c r="N57" s="20">
        <f t="shared" si="26"/>
        <v>131983.54073454544</v>
      </c>
      <c r="O57" s="20">
        <f t="shared" si="26"/>
        <v>125155.73903781819</v>
      </c>
      <c r="P57" s="20">
        <f t="shared" si="26"/>
        <v>118322.53874334549</v>
      </c>
      <c r="Q57" s="20">
        <f t="shared" si="26"/>
        <v>111490.15633592727</v>
      </c>
      <c r="R57" s="20">
        <f t="shared" si="26"/>
        <v>104664.80830036366</v>
      </c>
      <c r="S57" s="20">
        <f t="shared" si="26"/>
        <v>97901.791850327296</v>
      </c>
      <c r="T57" s="20">
        <f t="shared" si="26"/>
        <v>92742.161005149072</v>
      </c>
      <c r="U57" s="20">
        <f t="shared" si="26"/>
        <v>87649.312494981801</v>
      </c>
      <c r="V57" s="20">
        <f t="shared" si="26"/>
        <v>82653.790821203642</v>
      </c>
      <c r="W57" s="20">
        <f t="shared" si="26"/>
        <v>77714.171252800006</v>
      </c>
      <c r="X57" s="20">
        <f t="shared" si="26"/>
        <v>72831.561731290916</v>
      </c>
      <c r="Y57" s="20">
        <f t="shared" si="26"/>
        <v>68016.071202239982</v>
      </c>
      <c r="Z57" s="20">
        <f t="shared" si="26"/>
        <v>63246.077381007271</v>
      </c>
      <c r="AA57" s="20">
        <f t="shared" si="26"/>
        <v>58517.748954559996</v>
      </c>
      <c r="AB57" s="20">
        <f t="shared" si="26"/>
        <v>53822.876305654529</v>
      </c>
      <c r="AC57" s="20">
        <f t="shared" si="26"/>
        <v>49162.250821090915</v>
      </c>
      <c r="AD57" s="20">
        <f t="shared" si="26"/>
        <v>44897.558465437083</v>
      </c>
      <c r="AE57" s="20">
        <f t="shared" si="26"/>
        <v>40809.392281919994</v>
      </c>
      <c r="AF57" s="20">
        <f t="shared" si="26"/>
        <v>36895.08894561162</v>
      </c>
      <c r="AG57" s="20">
        <f t="shared" si="26"/>
        <v>33151.985131583991</v>
      </c>
      <c r="AH57" s="20">
        <f t="shared" si="26"/>
        <v>29577.417514909088</v>
      </c>
      <c r="AI57" s="20">
        <f t="shared" si="26"/>
        <v>26168.722770658911</v>
      </c>
      <c r="AJ57" s="20">
        <f t="shared" si="26"/>
        <v>22923.237573905455</v>
      </c>
      <c r="AK57" s="20">
        <f t="shared" si="26"/>
        <v>19771.086938181805</v>
      </c>
      <c r="AL57" s="20">
        <f t="shared" si="26"/>
        <v>16766.041445905459</v>
      </c>
      <c r="AM57" s="20">
        <f t="shared" si="26"/>
        <v>13828.040206399994</v>
      </c>
    </row>
    <row r="58" spans="1:39">
      <c r="A58" s="40" t="s">
        <v>201</v>
      </c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6"/>
    </row>
    <row r="59" spans="1:39" ht="17" customHeight="1">
      <c r="A59" s="2" t="s">
        <v>202</v>
      </c>
      <c r="B59" s="7" t="s">
        <v>203</v>
      </c>
      <c r="C59" s="23">
        <v>0</v>
      </c>
      <c r="D59" s="23">
        <f>MAX(0,MIN(0.98,IF(D57&gt;0,1-汇总对比与可视化看板!F4*D13/D57,0)))</f>
        <v>2.5282841475477991E-3</v>
      </c>
      <c r="E59" s="23">
        <f>MAX(0,MIN(0.98,IF(E57&gt;0,1-汇总对比与可视化看板!F5*E13/E57,0)))</f>
        <v>2.1061084347487324E-2</v>
      </c>
      <c r="F59" s="23">
        <f>MAX(0,MIN(0.98,IF(F57&gt;0,1-汇总对比与可视化看板!F6*F13/F57,0)))</f>
        <v>4.1124747028573161E-2</v>
      </c>
      <c r="G59" s="23">
        <f>MAX(0,MIN(0.98,IF(G57&gt;0,1-汇总对比与可视化看板!F7*G13/G57,0)))</f>
        <v>5.5638445280683402E-2</v>
      </c>
      <c r="H59" s="23">
        <f>MAX(0,MIN(0.98,IF(H57&gt;0,1-汇总对比与可视化看板!F8*H13/H57,0)))</f>
        <v>6.5559105310761034E-2</v>
      </c>
      <c r="I59" s="23">
        <f>MAX(0,MIN(0.98,IF(I57&gt;0,1-汇总对比与可视化看板!F9*I13/I57,0)))</f>
        <v>7.7687482453697609E-2</v>
      </c>
      <c r="J59" s="23">
        <f>MAX(0,MIN(0.98,IF(J57&gt;0,1-汇总对比与可视化看板!F10*J13/J57,0)))</f>
        <v>0.10079908277978411</v>
      </c>
      <c r="K59" s="23">
        <f>MAX(0,MIN(0.98,IF(K57&gt;0,1-汇总对比与可视化看板!F11*K13/K57,0)))</f>
        <v>0.12355881381250644</v>
      </c>
      <c r="L59" s="23">
        <f>MAX(0,MIN(0.98,IF(L57&gt;0,1-汇总对比与可视化看板!F12*L13/L57,0)))</f>
        <v>0.14412268345697299</v>
      </c>
      <c r="M59" s="23">
        <f>MAX(0,MIN(0.98,IF(M57&gt;0,1-汇总对比与可视化看板!F13*M13/M57,0)))</f>
        <v>0.16497397837450978</v>
      </c>
      <c r="N59" s="23">
        <f>MAX(0,MIN(0.98,IF(N57&gt;0,1-汇总对比与可视化看板!F14*N13/N57,0)))</f>
        <v>0.18516354841319149</v>
      </c>
      <c r="O59" s="23">
        <f>MAX(0,MIN(0.98,IF(O57&gt;0,1-汇总对比与可视化看板!F15*O13/O57,0)))</f>
        <v>0.21605672457135439</v>
      </c>
      <c r="P59" s="23">
        <f>MAX(0,MIN(0.98,IF(P57&gt;0,1-汇总对比与可视化看板!F16*P13/P57,0)))</f>
        <v>0.24872301639150407</v>
      </c>
      <c r="Q59" s="23">
        <f>MAX(0,MIN(0.98,IF(Q57&gt;0,1-汇总对比与可视化看板!F17*Q13/Q57,0)))</f>
        <v>0.28353316000993622</v>
      </c>
      <c r="R59" s="23">
        <f>MAX(0,MIN(0.98,IF(R57&gt;0,1-汇总对比与可视化看板!F18*R13/R57,0)))</f>
        <v>0.32094654206945072</v>
      </c>
      <c r="S59" s="23">
        <f>MAX(0,MIN(0.98,IF(S57&gt;0,1-汇总对比与可视化看板!F19*S13/S57,0)))</f>
        <v>0.36099228811213169</v>
      </c>
      <c r="T59" s="23">
        <f>MAX(0,MIN(0.98,IF(T57&gt;0,1-汇总对比与可视化看板!F20*T13/T57,0)))</f>
        <v>0.38615189269916572</v>
      </c>
      <c r="U59" s="23">
        <f>MAX(0,MIN(0.98,IF(U57&gt;0,1-汇总对比与可视化看板!F21*U13/U57,0)))</f>
        <v>0.41348085299649928</v>
      </c>
      <c r="V59" s="23">
        <f>MAX(0,MIN(0.98,IF(V57&gt;0,1-汇总对比与可视化看板!F22*V13/V57,0)))</f>
        <v>0.44273820302281863</v>
      </c>
      <c r="W59" s="23">
        <f>MAX(0,MIN(0.98,IF(W57&gt;0,1-汇总对比与可视化看板!F23*W13/W57,0)))</f>
        <v>0.47491172662373671</v>
      </c>
      <c r="X59" s="23">
        <f>MAX(0,MIN(0.98,IF(X57&gt;0,1-汇总对比与可视化看板!F24*X13/X57,0)))</f>
        <v>0.51052813982589673</v>
      </c>
      <c r="Y59" s="23">
        <f>MAX(0,MIN(0.98,IF(Y57&gt;0,1-汇总对比与可视化看板!F25*Y13/Y57,0)))</f>
        <v>0.54965643474286363</v>
      </c>
      <c r="Z59" s="23">
        <f>MAX(0,MIN(0.98,IF(Z57&gt;0,1-汇总对比与可视化看板!F26*Z13/Z57,0)))</f>
        <v>0.59374871827678244</v>
      </c>
      <c r="AA59" s="23">
        <f>MAX(0,MIN(0.98,IF(AA57&gt;0,1-汇总对比与可视化看板!F27*AA13/AA57,0)))</f>
        <v>0.64336974041490769</v>
      </c>
      <c r="AB59" s="23">
        <f>MAX(0,MIN(0.98,IF(AB57&gt;0,1-汇总对比与可视化看板!F28*AB13/AB57,0)))</f>
        <v>0.70063658604014001</v>
      </c>
      <c r="AC59" s="23">
        <f>MAX(0,MIN(0.98,IF(AC57&gt;0,1-汇总对比与可视化看板!F29*AC13/AC57,0)))</f>
        <v>0.76762658728597044</v>
      </c>
      <c r="AD59" s="23">
        <f>MAX(0,MIN(0.98,IF(AD57&gt;0,1-汇总对比与可视化看板!F30*AD13/AD57,0)))</f>
        <v>0.77155996115255232</v>
      </c>
      <c r="AE59" s="23">
        <f>MAX(0,MIN(0.98,IF(AE57&gt;0,1-汇总对比与可视化看板!F31*AE13/AE57,0)))</f>
        <v>0.77681608348686026</v>
      </c>
      <c r="AF59" s="23">
        <f>MAX(0,MIN(0.98,IF(AF57&gt;0,1-汇总对比与可视化看板!F32*AF13/AF57,0)))</f>
        <v>0.78374357596042565</v>
      </c>
      <c r="AG59" s="23">
        <f>MAX(0,MIN(0.98,IF(AG57&gt;0,1-汇总对比与可视化看板!F33*AG13/AG57,0)))</f>
        <v>0.79280878738522131</v>
      </c>
      <c r="AH59" s="23">
        <f>MAX(0,MIN(0.98,IF(AH57&gt;0,1-汇总对比与可视化看板!F34*AH13/AH57,0)))</f>
        <v>0.80464825919681848</v>
      </c>
      <c r="AI59" s="23">
        <f>MAX(0,MIN(0.98,IF(AI57&gt;0,1-汇总对比与可视化看板!F35*AI13/AI57,0)))</f>
        <v>0.82015171159683253</v>
      </c>
      <c r="AJ59" s="23">
        <f>MAX(0,MIN(0.98,IF(AJ57&gt;0,1-汇总对比与可视化看板!F36*AJ13/AJ57,0)))</f>
        <v>0.84059843256349132</v>
      </c>
      <c r="AK59" s="23">
        <f>MAX(0,MIN(0.98,IF(AK57&gt;0,1-汇总对比与可视化看板!F37*AK13/AK57,0)))</f>
        <v>0.86723036481466198</v>
      </c>
      <c r="AL59" s="23">
        <f>MAX(0,MIN(0.98,IF(AL57&gt;0,1-汇总对比与可视化看板!F38*AL13/AL57,0)))</f>
        <v>0.90385327358273493</v>
      </c>
      <c r="AM59" s="23">
        <f>MAX(0,MIN(0.98,IF(AM57&gt;0,1-汇总对比与可视化看板!F39*AM13/AM57,0)))</f>
        <v>0.95545283418290194</v>
      </c>
    </row>
    <row r="60" spans="1:39" ht="17" customHeight="1">
      <c r="A60" s="5" t="s">
        <v>204</v>
      </c>
      <c r="B60" s="7" t="e">
        <f>工艺曲线×CCUS比例</f>
        <v>#NAME?</v>
      </c>
      <c r="C60" s="28">
        <f t="shared" ref="C60:AM60" si="27">C57*C59</f>
        <v>0</v>
      </c>
      <c r="D60" s="28">
        <f t="shared" si="27"/>
        <v>474.1641965158974</v>
      </c>
      <c r="E60" s="28">
        <f t="shared" si="27"/>
        <v>3811.5626509091212</v>
      </c>
      <c r="F60" s="28">
        <f t="shared" si="27"/>
        <v>7231.9920622727059</v>
      </c>
      <c r="G60" s="28">
        <f t="shared" si="27"/>
        <v>9501.3406133333319</v>
      </c>
      <c r="H60" s="28">
        <f t="shared" si="27"/>
        <v>10864.767484090902</v>
      </c>
      <c r="I60" s="28">
        <f t="shared" si="27"/>
        <v>12486.431854545423</v>
      </c>
      <c r="J60" s="28">
        <f t="shared" si="27"/>
        <v>15622.216465527274</v>
      </c>
      <c r="K60" s="28">
        <f t="shared" si="27"/>
        <v>18426.93576058184</v>
      </c>
      <c r="L60" s="28">
        <f t="shared" si="27"/>
        <v>20681.201790632738</v>
      </c>
      <c r="M60" s="28">
        <f t="shared" si="27"/>
        <v>22724.605520261801</v>
      </c>
      <c r="N60" s="28">
        <f t="shared" si="27"/>
        <v>24438.540734545437</v>
      </c>
      <c r="O60" s="28">
        <f t="shared" si="27"/>
        <v>27040.739037818192</v>
      </c>
      <c r="P60" s="28">
        <f t="shared" si="27"/>
        <v>29429.538743345496</v>
      </c>
      <c r="Q60" s="28">
        <f t="shared" si="27"/>
        <v>31611.156335927273</v>
      </c>
      <c r="R60" s="28">
        <f t="shared" si="27"/>
        <v>33591.808300363657</v>
      </c>
      <c r="S60" s="28">
        <f t="shared" si="27"/>
        <v>35341.791850327296</v>
      </c>
      <c r="T60" s="28">
        <f t="shared" si="27"/>
        <v>35812.561005149073</v>
      </c>
      <c r="U60" s="28">
        <f t="shared" si="27"/>
        <v>36241.312494981801</v>
      </c>
      <c r="V60" s="28">
        <f t="shared" si="27"/>
        <v>36593.990821203639</v>
      </c>
      <c r="W60" s="28">
        <f t="shared" si="27"/>
        <v>36907.371252800018</v>
      </c>
      <c r="X60" s="28">
        <f t="shared" si="27"/>
        <v>37182.561731290916</v>
      </c>
      <c r="Y60" s="28">
        <f t="shared" si="27"/>
        <v>37385.471202239984</v>
      </c>
      <c r="Z60" s="28">
        <f t="shared" si="27"/>
        <v>37552.277381007269</v>
      </c>
      <c r="AA60" s="28">
        <f t="shared" si="27"/>
        <v>37648.548954559999</v>
      </c>
      <c r="AB60" s="28">
        <f t="shared" si="27"/>
        <v>37710.27630565453</v>
      </c>
      <c r="AC60" s="28">
        <f t="shared" si="27"/>
        <v>37738.250821090915</v>
      </c>
      <c r="AD60" s="28">
        <f t="shared" si="27"/>
        <v>34641.158465437082</v>
      </c>
      <c r="AE60" s="28">
        <f t="shared" si="27"/>
        <v>31701.392281919994</v>
      </c>
      <c r="AF60" s="28">
        <f t="shared" si="27"/>
        <v>28916.288945611621</v>
      </c>
      <c r="AG60" s="28">
        <f t="shared" si="27"/>
        <v>26283.185131583992</v>
      </c>
      <c r="AH60" s="28">
        <f t="shared" si="27"/>
        <v>23799.417514909088</v>
      </c>
      <c r="AI60" s="28">
        <f t="shared" si="27"/>
        <v>21462.322770658913</v>
      </c>
      <c r="AJ60" s="28">
        <f t="shared" si="27"/>
        <v>19269.237573905455</v>
      </c>
      <c r="AK60" s="28">
        <f t="shared" si="27"/>
        <v>17146.086938181805</v>
      </c>
      <c r="AL60" s="28">
        <f t="shared" si="27"/>
        <v>15154.041445905459</v>
      </c>
      <c r="AM60" s="28">
        <f t="shared" si="27"/>
        <v>13212.040206399994</v>
      </c>
    </row>
    <row r="61" spans="1:39">
      <c r="A61" s="40" t="s">
        <v>205</v>
      </c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6"/>
    </row>
    <row r="62" spans="1:39" ht="17" customHeight="1">
      <c r="A62" s="5" t="s">
        <v>52</v>
      </c>
      <c r="B62" s="7" t="e">
        <f>工艺曲线-CCUS</f>
        <v>#NAME?</v>
      </c>
      <c r="C62" s="28">
        <f t="shared" ref="C62:AM62" si="28">C57-C60</f>
        <v>195992.54955807273</v>
      </c>
      <c r="D62" s="28">
        <f t="shared" si="28"/>
        <v>187069.70699999999</v>
      </c>
      <c r="E62" s="28">
        <f t="shared" si="28"/>
        <v>177165</v>
      </c>
      <c r="F62" s="28">
        <f t="shared" si="28"/>
        <v>168623</v>
      </c>
      <c r="G62" s="28">
        <f t="shared" si="28"/>
        <v>161268</v>
      </c>
      <c r="H62" s="28">
        <f t="shared" si="28"/>
        <v>154860</v>
      </c>
      <c r="I62" s="28">
        <f t="shared" si="28"/>
        <v>148240</v>
      </c>
      <c r="J62" s="28">
        <f t="shared" si="28"/>
        <v>139361.5</v>
      </c>
      <c r="K62" s="28">
        <f t="shared" si="28"/>
        <v>130708</v>
      </c>
      <c r="L62" s="28">
        <f t="shared" si="28"/>
        <v>122816</v>
      </c>
      <c r="M62" s="28">
        <f t="shared" si="28"/>
        <v>115022</v>
      </c>
      <c r="N62" s="28">
        <f t="shared" si="28"/>
        <v>107545</v>
      </c>
      <c r="O62" s="28">
        <f t="shared" si="28"/>
        <v>98115</v>
      </c>
      <c r="P62" s="28">
        <f t="shared" si="28"/>
        <v>88893</v>
      </c>
      <c r="Q62" s="28">
        <f t="shared" si="28"/>
        <v>79879</v>
      </c>
      <c r="R62" s="28">
        <f t="shared" si="28"/>
        <v>71073</v>
      </c>
      <c r="S62" s="28">
        <f t="shared" si="28"/>
        <v>62560</v>
      </c>
      <c r="T62" s="28">
        <f t="shared" si="28"/>
        <v>56929.599999999999</v>
      </c>
      <c r="U62" s="28">
        <f t="shared" si="28"/>
        <v>51408</v>
      </c>
      <c r="V62" s="28">
        <f t="shared" si="28"/>
        <v>46059.8</v>
      </c>
      <c r="W62" s="28">
        <f t="shared" si="28"/>
        <v>40806.799999999988</v>
      </c>
      <c r="X62" s="28">
        <f t="shared" si="28"/>
        <v>35649</v>
      </c>
      <c r="Y62" s="28">
        <f t="shared" si="28"/>
        <v>30630.6</v>
      </c>
      <c r="Z62" s="28">
        <f t="shared" si="28"/>
        <v>25693.800000000003</v>
      </c>
      <c r="AA62" s="28">
        <f t="shared" si="28"/>
        <v>20869.199999999997</v>
      </c>
      <c r="AB62" s="28">
        <f t="shared" si="28"/>
        <v>16112.599999999999</v>
      </c>
      <c r="AC62" s="28">
        <f t="shared" si="28"/>
        <v>11424</v>
      </c>
      <c r="AD62" s="28">
        <f t="shared" si="28"/>
        <v>10256.400000000001</v>
      </c>
      <c r="AE62" s="28">
        <f t="shared" si="28"/>
        <v>9108</v>
      </c>
      <c r="AF62" s="28">
        <f t="shared" si="28"/>
        <v>7978.7999999999993</v>
      </c>
      <c r="AG62" s="28">
        <f t="shared" si="28"/>
        <v>6868.7999999999993</v>
      </c>
      <c r="AH62" s="28">
        <f t="shared" si="28"/>
        <v>5778</v>
      </c>
      <c r="AI62" s="28">
        <f t="shared" si="28"/>
        <v>4706.3999999999978</v>
      </c>
      <c r="AJ62" s="28">
        <f t="shared" si="28"/>
        <v>3654</v>
      </c>
      <c r="AK62" s="28">
        <f t="shared" si="28"/>
        <v>2625</v>
      </c>
      <c r="AL62" s="28">
        <f t="shared" si="28"/>
        <v>1612</v>
      </c>
      <c r="AM62" s="28">
        <f t="shared" si="28"/>
        <v>616</v>
      </c>
    </row>
    <row r="63" spans="1:39" ht="17" customHeight="1">
      <c r="A63" s="5" t="s">
        <v>56</v>
      </c>
      <c r="B63" s="7" t="e">
        <f>碳排放总量/粗钢产量</f>
        <v>#NAME?</v>
      </c>
      <c r="C63" s="29">
        <f t="shared" ref="C63:AM63" si="29">IF(C13&gt;0,C62/C13,0)</f>
        <v>1.9499999956031075</v>
      </c>
      <c r="D63" s="29">
        <f t="shared" si="29"/>
        <v>1.9469999999999998</v>
      </c>
      <c r="E63" s="29">
        <f t="shared" si="29"/>
        <v>1.905</v>
      </c>
      <c r="F63" s="29">
        <f t="shared" si="29"/>
        <v>1.853</v>
      </c>
      <c r="G63" s="29">
        <f t="shared" si="29"/>
        <v>1.8120000000000001</v>
      </c>
      <c r="H63" s="29">
        <f t="shared" si="29"/>
        <v>1.78</v>
      </c>
      <c r="I63" s="29">
        <f t="shared" si="29"/>
        <v>1.744</v>
      </c>
      <c r="J63" s="29">
        <f t="shared" si="29"/>
        <v>1.669</v>
      </c>
      <c r="K63" s="29">
        <f t="shared" si="29"/>
        <v>1.5940000000000001</v>
      </c>
      <c r="L63" s="29">
        <f t="shared" si="29"/>
        <v>1.52</v>
      </c>
      <c r="M63" s="29">
        <f t="shared" si="29"/>
        <v>1.4450000000000001</v>
      </c>
      <c r="N63" s="29">
        <f t="shared" si="29"/>
        <v>1.37</v>
      </c>
      <c r="O63" s="29">
        <f t="shared" si="29"/>
        <v>1.266</v>
      </c>
      <c r="P63" s="29">
        <f t="shared" si="29"/>
        <v>1.1619999999999999</v>
      </c>
      <c r="Q63" s="29">
        <f t="shared" si="29"/>
        <v>1.0580000000000001</v>
      </c>
      <c r="R63" s="29">
        <f t="shared" si="29"/>
        <v>0.95399999999999996</v>
      </c>
      <c r="S63" s="29">
        <f t="shared" si="29"/>
        <v>0.85</v>
      </c>
      <c r="T63" s="29">
        <f t="shared" si="29"/>
        <v>0.78200000000000003</v>
      </c>
      <c r="U63" s="29">
        <f t="shared" si="29"/>
        <v>0.71399999999999997</v>
      </c>
      <c r="V63" s="29">
        <f t="shared" si="29"/>
        <v>0.64600000000000002</v>
      </c>
      <c r="W63" s="29">
        <f t="shared" si="29"/>
        <v>0.57799999999999985</v>
      </c>
      <c r="X63" s="29">
        <f t="shared" si="29"/>
        <v>0.51</v>
      </c>
      <c r="Y63" s="29">
        <f t="shared" si="29"/>
        <v>0.442</v>
      </c>
      <c r="Z63" s="29">
        <f t="shared" si="29"/>
        <v>0.37400000000000005</v>
      </c>
      <c r="AA63" s="29">
        <f t="shared" si="29"/>
        <v>0.30599999999999994</v>
      </c>
      <c r="AB63" s="29">
        <f t="shared" si="29"/>
        <v>0.23799999999999999</v>
      </c>
      <c r="AC63" s="29">
        <f t="shared" si="29"/>
        <v>0.17</v>
      </c>
      <c r="AD63" s="29">
        <f t="shared" si="29"/>
        <v>0.15400000000000003</v>
      </c>
      <c r="AE63" s="29">
        <f t="shared" si="29"/>
        <v>0.13800000000000001</v>
      </c>
      <c r="AF63" s="29">
        <f t="shared" si="29"/>
        <v>0.12199999999999998</v>
      </c>
      <c r="AG63" s="29">
        <f t="shared" si="29"/>
        <v>0.10599999999999998</v>
      </c>
      <c r="AH63" s="29">
        <f t="shared" si="29"/>
        <v>0.09</v>
      </c>
      <c r="AI63" s="29">
        <f t="shared" si="29"/>
        <v>7.3999999999999969E-2</v>
      </c>
      <c r="AJ63" s="29">
        <f t="shared" si="29"/>
        <v>5.8000000000000003E-2</v>
      </c>
      <c r="AK63" s="29">
        <f t="shared" si="29"/>
        <v>4.2000000000000003E-2</v>
      </c>
      <c r="AL63" s="29">
        <f t="shared" si="29"/>
        <v>2.5999999999999999E-2</v>
      </c>
      <c r="AM63" s="29">
        <f t="shared" si="29"/>
        <v>0.01</v>
      </c>
    </row>
    <row r="64" spans="1:39" ht="17" customHeight="1">
      <c r="A64" s="2" t="s">
        <v>206</v>
      </c>
      <c r="B64" s="7" t="e">
        <f>(当年-1.95)/1.95</f>
        <v>#NAME?</v>
      </c>
      <c r="C64" s="19">
        <f t="shared" ref="C64:AM64" si="30">(C63-1.95)/1.95</f>
        <v>-2.2548166183192291E-9</v>
      </c>
      <c r="D64" s="19">
        <f t="shared" si="30"/>
        <v>-1.5384615384615968E-3</v>
      </c>
      <c r="E64" s="19">
        <f t="shared" si="30"/>
        <v>-2.307692307692304E-2</v>
      </c>
      <c r="F64" s="19">
        <f t="shared" si="30"/>
        <v>-4.9743589743589729E-2</v>
      </c>
      <c r="G64" s="19">
        <f t="shared" si="30"/>
        <v>-7.0769230769230723E-2</v>
      </c>
      <c r="H64" s="19">
        <f t="shared" si="30"/>
        <v>-8.7179487179487147E-2</v>
      </c>
      <c r="I64" s="19">
        <f t="shared" si="30"/>
        <v>-0.10564102564102562</v>
      </c>
      <c r="J64" s="19">
        <f t="shared" si="30"/>
        <v>-0.14410256410256406</v>
      </c>
      <c r="K64" s="19">
        <f t="shared" si="30"/>
        <v>-0.18256410256410249</v>
      </c>
      <c r="L64" s="19">
        <f t="shared" si="30"/>
        <v>-0.22051282051282048</v>
      </c>
      <c r="M64" s="19">
        <f t="shared" si="30"/>
        <v>-0.25897435897435894</v>
      </c>
      <c r="N64" s="19">
        <f t="shared" si="30"/>
        <v>-0.29743589743589738</v>
      </c>
      <c r="O64" s="19">
        <f t="shared" si="30"/>
        <v>-0.35076923076923072</v>
      </c>
      <c r="P64" s="19">
        <f t="shared" si="30"/>
        <v>-0.40410256410256412</v>
      </c>
      <c r="Q64" s="19">
        <f t="shared" si="30"/>
        <v>-0.45743589743589741</v>
      </c>
      <c r="R64" s="19">
        <f t="shared" si="30"/>
        <v>-0.51076923076923075</v>
      </c>
      <c r="S64" s="19">
        <f t="shared" si="30"/>
        <v>-0.56410256410256421</v>
      </c>
      <c r="T64" s="19">
        <f t="shared" si="30"/>
        <v>-0.59897435897435891</v>
      </c>
      <c r="U64" s="19">
        <f t="shared" si="30"/>
        <v>-0.63384615384615384</v>
      </c>
      <c r="V64" s="19">
        <f t="shared" si="30"/>
        <v>-0.66871794871794865</v>
      </c>
      <c r="W64" s="19">
        <f t="shared" si="30"/>
        <v>-0.70358974358974369</v>
      </c>
      <c r="X64" s="19">
        <f t="shared" si="30"/>
        <v>-0.7384615384615385</v>
      </c>
      <c r="Y64" s="19">
        <f t="shared" si="30"/>
        <v>-0.77333333333333332</v>
      </c>
      <c r="Z64" s="19">
        <f t="shared" si="30"/>
        <v>-0.80820512820512813</v>
      </c>
      <c r="AA64" s="19">
        <f t="shared" si="30"/>
        <v>-0.84307692307692317</v>
      </c>
      <c r="AB64" s="19">
        <f t="shared" si="30"/>
        <v>-0.87794871794871798</v>
      </c>
      <c r="AC64" s="19">
        <f t="shared" si="30"/>
        <v>-0.91282051282051291</v>
      </c>
      <c r="AD64" s="19">
        <f t="shared" si="30"/>
        <v>-0.921025641025641</v>
      </c>
      <c r="AE64" s="19">
        <f t="shared" si="30"/>
        <v>-0.92923076923076919</v>
      </c>
      <c r="AF64" s="19">
        <f t="shared" si="30"/>
        <v>-0.9374358974358975</v>
      </c>
      <c r="AG64" s="19">
        <f t="shared" si="30"/>
        <v>-0.94564102564102559</v>
      </c>
      <c r="AH64" s="19">
        <f t="shared" si="30"/>
        <v>-0.95384615384615379</v>
      </c>
      <c r="AI64" s="19">
        <f t="shared" si="30"/>
        <v>-0.96205128205128199</v>
      </c>
      <c r="AJ64" s="19">
        <f t="shared" si="30"/>
        <v>-0.97025641025641018</v>
      </c>
      <c r="AK64" s="19">
        <f t="shared" si="30"/>
        <v>-0.97846153846153849</v>
      </c>
      <c r="AL64" s="19">
        <f t="shared" si="30"/>
        <v>-0.98666666666666669</v>
      </c>
      <c r="AM64" s="19">
        <f t="shared" si="30"/>
        <v>-0.99487179487179489</v>
      </c>
    </row>
    <row r="65" spans="1:39" ht="17" customHeight="1">
      <c r="A65" s="2" t="s">
        <v>207</v>
      </c>
      <c r="B65" s="7" t="e">
        <f>碳排放/(全国排放×10000)</f>
        <v>#NAME?</v>
      </c>
      <c r="C65" s="19">
        <f t="shared" ref="C65:AM65" si="31">C62/(C9*10000)</f>
        <v>0.18403056296532649</v>
      </c>
      <c r="D65" s="19">
        <f t="shared" si="31"/>
        <v>0.17321269166666667</v>
      </c>
      <c r="E65" s="19">
        <f t="shared" si="31"/>
        <v>0.1610590909090909</v>
      </c>
      <c r="F65" s="19">
        <f t="shared" si="31"/>
        <v>0.15055625</v>
      </c>
      <c r="G65" s="19">
        <f t="shared" si="31"/>
        <v>0.14023304347826088</v>
      </c>
      <c r="H65" s="19">
        <f t="shared" si="31"/>
        <v>0.13235897435897437</v>
      </c>
      <c r="I65" s="19">
        <f t="shared" si="31"/>
        <v>0.12562711864406781</v>
      </c>
      <c r="J65" s="19">
        <f t="shared" si="31"/>
        <v>0.11911239316239317</v>
      </c>
      <c r="K65" s="19">
        <f t="shared" si="31"/>
        <v>0.11316709956709957</v>
      </c>
      <c r="L65" s="19">
        <f t="shared" si="31"/>
        <v>0.10820792951541851</v>
      </c>
      <c r="M65" s="19">
        <f t="shared" si="31"/>
        <v>0.10362342342342343</v>
      </c>
      <c r="N65" s="19">
        <f t="shared" si="31"/>
        <v>9.8665137614678905E-2</v>
      </c>
      <c r="O65" s="19">
        <f t="shared" si="31"/>
        <v>9.2126760563380275E-2</v>
      </c>
      <c r="P65" s="19">
        <f t="shared" si="31"/>
        <v>8.5886956521739125E-2</v>
      </c>
      <c r="Q65" s="19">
        <f t="shared" si="31"/>
        <v>7.9879000000000006E-2</v>
      </c>
      <c r="R65" s="19">
        <f t="shared" si="31"/>
        <v>7.4034374999999999E-2</v>
      </c>
      <c r="S65" s="19">
        <f t="shared" si="31"/>
        <v>6.8000000000000005E-2</v>
      </c>
      <c r="T65" s="19">
        <f t="shared" si="31"/>
        <v>6.5062399999999992E-2</v>
      </c>
      <c r="U65" s="19">
        <f t="shared" si="31"/>
        <v>6.1937349397590359E-2</v>
      </c>
      <c r="V65" s="19">
        <f t="shared" si="31"/>
        <v>5.8674904458598728E-2</v>
      </c>
      <c r="W65" s="19">
        <f t="shared" si="31"/>
        <v>5.5144324324324312E-2</v>
      </c>
      <c r="X65" s="19">
        <f t="shared" si="31"/>
        <v>5.1293525179856116E-2</v>
      </c>
      <c r="Y65" s="19">
        <f t="shared" si="31"/>
        <v>4.7123999999999999E-2</v>
      </c>
      <c r="Z65" s="19">
        <f t="shared" si="31"/>
        <v>4.2469090909090915E-2</v>
      </c>
      <c r="AA65" s="19">
        <f t="shared" si="31"/>
        <v>3.7266428571428568E-2</v>
      </c>
      <c r="AB65" s="19">
        <f t="shared" si="31"/>
        <v>3.1286601941747573E-2</v>
      </c>
      <c r="AC65" s="19">
        <f t="shared" si="31"/>
        <v>2.4306382978723406E-2</v>
      </c>
      <c r="AD65" s="19">
        <f t="shared" si="31"/>
        <v>2.3852093023255819E-2</v>
      </c>
      <c r="AE65" s="19">
        <f t="shared" si="31"/>
        <v>2.3353846153846152E-2</v>
      </c>
      <c r="AF65" s="19">
        <f t="shared" si="31"/>
        <v>2.2475492957746476E-2</v>
      </c>
      <c r="AG65" s="19">
        <f t="shared" si="31"/>
        <v>2.1464999999999998E-2</v>
      </c>
      <c r="AH65" s="19">
        <f t="shared" si="31"/>
        <v>1.9924137931034484E-2</v>
      </c>
      <c r="AI65" s="19">
        <f t="shared" si="31"/>
        <v>1.7759999999999991E-2</v>
      </c>
      <c r="AJ65" s="19">
        <f t="shared" si="31"/>
        <v>1.4914285714285715E-2</v>
      </c>
      <c r="AK65" s="19">
        <f t="shared" si="31"/>
        <v>1.141304347826087E-2</v>
      </c>
      <c r="AL65" s="19">
        <f t="shared" si="31"/>
        <v>7.3272727272727274E-3</v>
      </c>
      <c r="AM65" s="19">
        <f t="shared" si="31"/>
        <v>2.9333333333333334E-3</v>
      </c>
    </row>
  </sheetData>
  <mergeCells count="20">
    <mergeCell ref="A1:J1"/>
    <mergeCell ref="A5:AM5"/>
    <mergeCell ref="AP11:AQ11"/>
    <mergeCell ref="A43:AM43"/>
    <mergeCell ref="A52:AM52"/>
    <mergeCell ref="A34:AM34"/>
    <mergeCell ref="A40:AM40"/>
    <mergeCell ref="AP25:AQ25"/>
    <mergeCell ref="A30:AM30"/>
    <mergeCell ref="A39:AM39"/>
    <mergeCell ref="A2:J2"/>
    <mergeCell ref="A49:AM49"/>
    <mergeCell ref="AP4:AQ4"/>
    <mergeCell ref="A61:AM61"/>
    <mergeCell ref="A46:AM46"/>
    <mergeCell ref="A12:AM12"/>
    <mergeCell ref="A21:AM21"/>
    <mergeCell ref="A55:AM55"/>
    <mergeCell ref="A14:AM14"/>
    <mergeCell ref="A58:AM58"/>
  </mergeCells>
  <phoneticPr fontId="9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72C4"/>
  </sheetPr>
  <dimension ref="A1:AQ65"/>
  <sheetViews>
    <sheetView workbookViewId="0">
      <selection sqref="A1:J1"/>
    </sheetView>
  </sheetViews>
  <sheetFormatPr baseColWidth="10" defaultColWidth="9" defaultRowHeight="14"/>
  <cols>
    <col min="1" max="1" width="35" customWidth="1"/>
    <col min="2" max="2" width="28" customWidth="1"/>
    <col min="3" max="39" width="14" customWidth="1"/>
    <col min="42" max="42" width="28" customWidth="1"/>
    <col min="43" max="43" width="16" customWidth="1"/>
  </cols>
  <sheetData>
    <row r="1" spans="1:43" ht="20.5" customHeight="1">
      <c r="A1" s="38" t="s">
        <v>208</v>
      </c>
      <c r="B1" s="35"/>
      <c r="C1" s="35"/>
      <c r="D1" s="35"/>
      <c r="E1" s="35"/>
      <c r="F1" s="35"/>
      <c r="G1" s="35"/>
      <c r="H1" s="35"/>
      <c r="I1" s="35"/>
      <c r="J1" s="36"/>
    </row>
    <row r="2" spans="1:43">
      <c r="A2" s="39" t="s">
        <v>108</v>
      </c>
      <c r="B2" s="35"/>
      <c r="C2" s="35"/>
      <c r="D2" s="35"/>
      <c r="E2" s="35"/>
      <c r="F2" s="35"/>
      <c r="G2" s="35"/>
      <c r="H2" s="35"/>
      <c r="I2" s="35"/>
      <c r="J2" s="36"/>
    </row>
    <row r="4" spans="1:43" ht="17" customHeight="1">
      <c r="A4" s="1" t="s">
        <v>15</v>
      </c>
      <c r="B4" s="1" t="s">
        <v>109</v>
      </c>
      <c r="C4" s="1">
        <v>2024</v>
      </c>
      <c r="D4" s="1">
        <v>2025</v>
      </c>
      <c r="E4" s="1">
        <v>2026</v>
      </c>
      <c r="F4" s="1">
        <v>2027</v>
      </c>
      <c r="G4" s="1">
        <v>2028</v>
      </c>
      <c r="H4" s="1">
        <v>2029</v>
      </c>
      <c r="I4" s="1">
        <v>2030</v>
      </c>
      <c r="J4" s="1">
        <v>2031</v>
      </c>
      <c r="K4" s="1">
        <v>2032</v>
      </c>
      <c r="L4" s="1">
        <v>2033</v>
      </c>
      <c r="M4" s="1">
        <v>2034</v>
      </c>
      <c r="N4" s="1">
        <v>2035</v>
      </c>
      <c r="O4" s="1">
        <v>2036</v>
      </c>
      <c r="P4" s="1">
        <v>2037</v>
      </c>
      <c r="Q4" s="1">
        <v>2038</v>
      </c>
      <c r="R4" s="1">
        <v>2039</v>
      </c>
      <c r="S4" s="1">
        <v>2040</v>
      </c>
      <c r="T4" s="1">
        <v>2041</v>
      </c>
      <c r="U4" s="1">
        <v>2042</v>
      </c>
      <c r="V4" s="1">
        <v>2043</v>
      </c>
      <c r="W4" s="1">
        <v>2044</v>
      </c>
      <c r="X4" s="1">
        <v>2045</v>
      </c>
      <c r="Y4" s="1">
        <v>2046</v>
      </c>
      <c r="Z4" s="1">
        <v>2047</v>
      </c>
      <c r="AA4" s="1">
        <v>2048</v>
      </c>
      <c r="AB4" s="1">
        <v>2049</v>
      </c>
      <c r="AC4" s="1">
        <v>2050</v>
      </c>
      <c r="AD4" s="1">
        <v>2051</v>
      </c>
      <c r="AE4" s="1">
        <v>2052</v>
      </c>
      <c r="AF4" s="1">
        <v>2053</v>
      </c>
      <c r="AG4" s="1">
        <v>2054</v>
      </c>
      <c r="AH4" s="1">
        <v>2055</v>
      </c>
      <c r="AI4" s="1">
        <v>2056</v>
      </c>
      <c r="AJ4" s="1">
        <v>2057</v>
      </c>
      <c r="AK4" s="1">
        <v>2058</v>
      </c>
      <c r="AL4" s="1">
        <v>2059</v>
      </c>
      <c r="AM4" s="1">
        <v>2060</v>
      </c>
      <c r="AP4" s="41" t="s">
        <v>110</v>
      </c>
      <c r="AQ4" s="36"/>
    </row>
    <row r="5" spans="1:43" ht="17.5" customHeight="1">
      <c r="A5" s="34" t="s">
        <v>111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6"/>
      <c r="AP5" s="1" t="s">
        <v>112</v>
      </c>
      <c r="AQ5" s="1" t="s">
        <v>113</v>
      </c>
    </row>
    <row r="6" spans="1:43" ht="17" customHeight="1">
      <c r="A6" s="14" t="s">
        <v>114</v>
      </c>
      <c r="B6" s="7" t="s">
        <v>115</v>
      </c>
      <c r="C6" s="15">
        <v>4.9000000000000004</v>
      </c>
      <c r="D6" s="15">
        <v>4.5</v>
      </c>
      <c r="E6" s="15">
        <v>4.3</v>
      </c>
      <c r="F6" s="15">
        <v>4.0999999999999996</v>
      </c>
      <c r="G6" s="15">
        <v>3.9</v>
      </c>
      <c r="H6" s="15">
        <v>3.7</v>
      </c>
      <c r="I6" s="15">
        <v>3.5</v>
      </c>
      <c r="J6" s="15">
        <v>3.3</v>
      </c>
      <c r="K6" s="15">
        <v>3.1</v>
      </c>
      <c r="L6" s="15">
        <v>3</v>
      </c>
      <c r="M6" s="15">
        <v>2.8</v>
      </c>
      <c r="N6" s="15">
        <v>2.7</v>
      </c>
      <c r="O6" s="15">
        <v>2.5</v>
      </c>
      <c r="P6" s="15">
        <v>2.4</v>
      </c>
      <c r="Q6" s="15">
        <v>2.2000000000000002</v>
      </c>
      <c r="R6" s="15">
        <v>2.1</v>
      </c>
      <c r="S6" s="15">
        <v>2</v>
      </c>
      <c r="T6" s="15">
        <v>1.8</v>
      </c>
      <c r="U6" s="15">
        <v>1.7</v>
      </c>
      <c r="V6" s="15">
        <v>1.6</v>
      </c>
      <c r="W6" s="15">
        <v>1.5</v>
      </c>
      <c r="X6" s="15">
        <v>1.5</v>
      </c>
      <c r="Y6" s="15">
        <v>1.3</v>
      </c>
      <c r="Z6" s="15">
        <v>1.2</v>
      </c>
      <c r="AA6" s="15">
        <v>1.1000000000000001</v>
      </c>
      <c r="AB6" s="15">
        <v>1</v>
      </c>
      <c r="AC6" s="15">
        <v>1</v>
      </c>
      <c r="AD6" s="15">
        <v>0.8</v>
      </c>
      <c r="AE6" s="15">
        <v>0.7</v>
      </c>
      <c r="AF6" s="15">
        <v>0.6</v>
      </c>
      <c r="AG6" s="15">
        <v>0.6</v>
      </c>
      <c r="AH6" s="15">
        <v>0.5</v>
      </c>
      <c r="AI6" s="15">
        <v>0.4</v>
      </c>
      <c r="AJ6" s="15">
        <v>0.4</v>
      </c>
      <c r="AK6" s="15">
        <v>0.3</v>
      </c>
      <c r="AL6" s="15">
        <v>0.3</v>
      </c>
      <c r="AM6" s="15">
        <v>0.2</v>
      </c>
      <c r="AP6" s="3" t="s">
        <v>44</v>
      </c>
      <c r="AQ6" s="30" t="s">
        <v>45</v>
      </c>
    </row>
    <row r="7" spans="1:43" ht="17" customHeight="1">
      <c r="A7" s="14" t="s">
        <v>116</v>
      </c>
      <c r="B7" s="7" t="s">
        <v>117</v>
      </c>
      <c r="C7" s="16">
        <v>124.92</v>
      </c>
      <c r="D7" s="16">
        <v>130.54</v>
      </c>
      <c r="E7" s="16">
        <v>135.627666872074</v>
      </c>
      <c r="F7" s="16">
        <v>140.91362050836801</v>
      </c>
      <c r="G7" s="16">
        <v>146.40558893861501</v>
      </c>
      <c r="H7" s="16">
        <v>152.11160138483399</v>
      </c>
      <c r="I7" s="16">
        <v>158.04</v>
      </c>
      <c r="J7" s="16">
        <v>162.74890406345801</v>
      </c>
      <c r="K7" s="16">
        <v>167.59811297049299</v>
      </c>
      <c r="L7" s="16">
        <v>172.59180719470601</v>
      </c>
      <c r="M7" s="16">
        <v>177.73429176961599</v>
      </c>
      <c r="N7" s="16">
        <v>183.03</v>
      </c>
      <c r="O7" s="16">
        <v>187.13014028519899</v>
      </c>
      <c r="P7" s="16">
        <v>191.32212972276901</v>
      </c>
      <c r="Q7" s="16">
        <v>195.60802586835399</v>
      </c>
      <c r="R7" s="16">
        <v>199.989932369863</v>
      </c>
      <c r="S7" s="16">
        <v>204.47</v>
      </c>
      <c r="T7" s="16">
        <v>207.27265600972399</v>
      </c>
      <c r="U7" s="16">
        <v>210.113727829635</v>
      </c>
      <c r="V7" s="16">
        <v>212.99374202255899</v>
      </c>
      <c r="W7" s="16">
        <v>215.913232368884</v>
      </c>
      <c r="X7" s="16">
        <v>218.87273996548799</v>
      </c>
      <c r="Y7" s="16">
        <v>221.87281332602501</v>
      </c>
      <c r="Z7" s="16">
        <v>224.914008482589</v>
      </c>
      <c r="AA7" s="16">
        <v>227.99688908876499</v>
      </c>
      <c r="AB7" s="16">
        <v>231.12202652409999</v>
      </c>
      <c r="AC7" s="16">
        <v>234.29</v>
      </c>
      <c r="AD7" s="16">
        <v>235.41536136498999</v>
      </c>
      <c r="AE7" s="16">
        <v>236.546128160009</v>
      </c>
      <c r="AF7" s="16">
        <v>237.682326348874</v>
      </c>
      <c r="AG7" s="16">
        <v>238.82398202011001</v>
      </c>
      <c r="AH7" s="16">
        <v>239.97112138755401</v>
      </c>
      <c r="AI7" s="16">
        <v>241.12377079095401</v>
      </c>
      <c r="AJ7" s="16">
        <v>242.28195669657899</v>
      </c>
      <c r="AK7" s="16">
        <v>243.445705697818</v>
      </c>
      <c r="AL7" s="16">
        <v>244.61504451580001</v>
      </c>
      <c r="AM7" s="16">
        <v>245.79</v>
      </c>
      <c r="AP7" s="3" t="s">
        <v>48</v>
      </c>
      <c r="AQ7" s="30" t="s">
        <v>49</v>
      </c>
    </row>
    <row r="8" spans="1:43" ht="17" customHeight="1">
      <c r="A8" s="14" t="s">
        <v>118</v>
      </c>
      <c r="B8" s="7" t="s">
        <v>119</v>
      </c>
      <c r="C8" s="16">
        <v>14.08</v>
      </c>
      <c r="D8" s="16">
        <v>14.08</v>
      </c>
      <c r="E8" s="16">
        <v>14.0539034418663</v>
      </c>
      <c r="F8" s="16">
        <v>14.0278552523652</v>
      </c>
      <c r="G8" s="16">
        <v>14.0018553418479</v>
      </c>
      <c r="H8" s="16">
        <v>13.975903620831801</v>
      </c>
      <c r="I8" s="16">
        <v>13.95</v>
      </c>
      <c r="J8" s="16">
        <v>13.9097686160443</v>
      </c>
      <c r="K8" s="16">
        <v>13.8696532582</v>
      </c>
      <c r="L8" s="16">
        <v>13.8296535918514</v>
      </c>
      <c r="M8" s="16">
        <v>13.789769283347599</v>
      </c>
      <c r="N8" s="16">
        <v>13.75</v>
      </c>
      <c r="O8" s="16">
        <v>13.6996323454979</v>
      </c>
      <c r="P8" s="16">
        <v>13.6494491928591</v>
      </c>
      <c r="Q8" s="16">
        <v>13.5994498662344</v>
      </c>
      <c r="R8" s="16">
        <v>13.5496336922503</v>
      </c>
      <c r="S8" s="16">
        <v>13.5</v>
      </c>
      <c r="T8" s="16">
        <v>13.434592209784</v>
      </c>
      <c r="U8" s="16">
        <v>13.3695013217176</v>
      </c>
      <c r="V8" s="16">
        <v>13.3047258004033</v>
      </c>
      <c r="W8" s="16">
        <v>13.2402641178822</v>
      </c>
      <c r="X8" s="16">
        <v>13.1761147535987</v>
      </c>
      <c r="Y8" s="16">
        <v>13.1122761943641</v>
      </c>
      <c r="Z8" s="16">
        <v>13.0487469343215</v>
      </c>
      <c r="AA8" s="16">
        <v>12.985525474909499</v>
      </c>
      <c r="AB8" s="16">
        <v>12.922610324827399</v>
      </c>
      <c r="AC8" s="16">
        <v>12.86</v>
      </c>
      <c r="AD8" s="16">
        <v>12.782955764494099</v>
      </c>
      <c r="AE8" s="16">
        <v>12.7063731008563</v>
      </c>
      <c r="AF8" s="16">
        <v>12.6302492438105</v>
      </c>
      <c r="AG8" s="16">
        <v>12.554581444647299</v>
      </c>
      <c r="AH8" s="16">
        <v>12.479366971124801</v>
      </c>
      <c r="AI8" s="16">
        <v>12.4046031073698</v>
      </c>
      <c r="AJ8" s="16">
        <v>12.330287153780301</v>
      </c>
      <c r="AK8" s="16">
        <v>12.2564164269271</v>
      </c>
      <c r="AL8" s="16">
        <v>12.182988259457799</v>
      </c>
      <c r="AM8" s="16">
        <v>12.11</v>
      </c>
      <c r="AP8" s="3" t="s">
        <v>52</v>
      </c>
      <c r="AQ8" s="30" t="s">
        <v>53</v>
      </c>
    </row>
    <row r="9" spans="1:43" ht="17" customHeight="1">
      <c r="A9" s="14" t="s">
        <v>120</v>
      </c>
      <c r="B9" s="7" t="s">
        <v>121</v>
      </c>
      <c r="C9" s="16">
        <v>106.5</v>
      </c>
      <c r="D9" s="16">
        <v>108</v>
      </c>
      <c r="E9" s="16">
        <v>110</v>
      </c>
      <c r="F9" s="16">
        <v>112</v>
      </c>
      <c r="G9" s="16">
        <v>115</v>
      </c>
      <c r="H9" s="16">
        <v>117</v>
      </c>
      <c r="I9" s="16">
        <v>118</v>
      </c>
      <c r="J9" s="16">
        <v>117</v>
      </c>
      <c r="K9" s="16">
        <v>115.5</v>
      </c>
      <c r="L9" s="16">
        <v>113.5</v>
      </c>
      <c r="M9" s="16">
        <v>111</v>
      </c>
      <c r="N9" s="16">
        <v>109</v>
      </c>
      <c r="O9" s="16">
        <v>106.5</v>
      </c>
      <c r="P9" s="16">
        <v>103.5</v>
      </c>
      <c r="Q9" s="16">
        <v>100</v>
      </c>
      <c r="R9" s="16">
        <v>96</v>
      </c>
      <c r="S9" s="16">
        <v>92</v>
      </c>
      <c r="T9" s="16">
        <v>87.5</v>
      </c>
      <c r="U9" s="16">
        <v>83</v>
      </c>
      <c r="V9" s="16">
        <v>78.5</v>
      </c>
      <c r="W9" s="16">
        <v>74</v>
      </c>
      <c r="X9" s="16">
        <v>69.5</v>
      </c>
      <c r="Y9" s="16">
        <v>65</v>
      </c>
      <c r="Z9" s="16">
        <v>60.5</v>
      </c>
      <c r="AA9" s="16">
        <v>56</v>
      </c>
      <c r="AB9" s="16">
        <v>51.5</v>
      </c>
      <c r="AC9" s="16">
        <v>47</v>
      </c>
      <c r="AD9" s="16">
        <v>43</v>
      </c>
      <c r="AE9" s="16">
        <v>39</v>
      </c>
      <c r="AF9" s="16">
        <v>35.5</v>
      </c>
      <c r="AG9" s="16">
        <v>32</v>
      </c>
      <c r="AH9" s="16">
        <v>29</v>
      </c>
      <c r="AI9" s="16">
        <v>26.5</v>
      </c>
      <c r="AJ9" s="16">
        <v>24.5</v>
      </c>
      <c r="AK9" s="16">
        <v>23</v>
      </c>
      <c r="AL9" s="16">
        <v>22</v>
      </c>
      <c r="AM9" s="16">
        <v>21</v>
      </c>
      <c r="AP9" s="3" t="s">
        <v>56</v>
      </c>
      <c r="AQ9" s="30" t="s">
        <v>57</v>
      </c>
    </row>
    <row r="10" spans="1:43" ht="28" customHeight="1">
      <c r="A10" s="14" t="s">
        <v>122</v>
      </c>
      <c r="B10" s="7" t="s">
        <v>123</v>
      </c>
      <c r="C10" s="17">
        <v>1.85</v>
      </c>
      <c r="D10" s="17">
        <v>1.8851500000000001</v>
      </c>
      <c r="E10" s="17">
        <v>1.87572425</v>
      </c>
      <c r="F10" s="17">
        <v>1.8607184560000001</v>
      </c>
      <c r="G10" s="17">
        <v>1.8421112714400001</v>
      </c>
      <c r="H10" s="17">
        <v>1.8200059361827201</v>
      </c>
      <c r="I10" s="17">
        <v>1.7927058471399799</v>
      </c>
      <c r="J10" s="17">
        <v>1.76581525943288</v>
      </c>
      <c r="K10" s="17">
        <v>1.7393280305413901</v>
      </c>
      <c r="L10" s="17">
        <v>1.7132381100832601</v>
      </c>
      <c r="M10" s="17">
        <v>1.68753953843202</v>
      </c>
      <c r="N10" s="17">
        <v>1.66222644535554</v>
      </c>
      <c r="O10" s="17">
        <v>1.64227972801127</v>
      </c>
      <c r="P10" s="17">
        <v>1.6225723712751301</v>
      </c>
      <c r="Q10" s="17">
        <v>1.6031015028198301</v>
      </c>
      <c r="R10" s="17">
        <v>1.5838642847859901</v>
      </c>
      <c r="S10" s="17">
        <v>1.56802564193814</v>
      </c>
      <c r="T10" s="17">
        <v>1.5523453855187499</v>
      </c>
      <c r="U10" s="17">
        <v>1.5368219316635701</v>
      </c>
      <c r="V10" s="17">
        <v>1.5214537123469301</v>
      </c>
      <c r="W10" s="17">
        <v>1.5092820826481499</v>
      </c>
      <c r="X10" s="17">
        <v>1.4972078259869701</v>
      </c>
      <c r="Y10" s="17">
        <v>1.4852301633790701</v>
      </c>
      <c r="Z10" s="17">
        <v>1.47334832207204</v>
      </c>
      <c r="AA10" s="17">
        <v>1.4645082321396099</v>
      </c>
      <c r="AB10" s="17">
        <v>1.45572118274677</v>
      </c>
      <c r="AC10" s="17">
        <v>1.4469868556502901</v>
      </c>
      <c r="AD10" s="17">
        <v>1.43975192137204</v>
      </c>
      <c r="AE10" s="17">
        <v>1.4325531617651801</v>
      </c>
      <c r="AF10" s="17">
        <v>1.4253903959563501</v>
      </c>
      <c r="AG10" s="17">
        <v>1.41826344397657</v>
      </c>
      <c r="AH10" s="17">
        <v>1.41259039020066</v>
      </c>
      <c r="AI10" s="17">
        <v>1.4069400286398599</v>
      </c>
      <c r="AJ10" s="17">
        <v>1.4013122685253001</v>
      </c>
      <c r="AK10" s="17">
        <v>1.3971083317197299</v>
      </c>
      <c r="AL10" s="17">
        <v>1.39291700672457</v>
      </c>
      <c r="AM10" s="17">
        <v>1.3887382557043899</v>
      </c>
    </row>
    <row r="11" spans="1:43" ht="17" customHeight="1">
      <c r="A11" s="2" t="s">
        <v>124</v>
      </c>
      <c r="B11" s="7" t="s">
        <v>125</v>
      </c>
      <c r="C11" s="15">
        <v>0</v>
      </c>
      <c r="D11" s="15">
        <v>1.9</v>
      </c>
      <c r="E11" s="15">
        <v>-0.5</v>
      </c>
      <c r="F11" s="15">
        <v>-0.8</v>
      </c>
      <c r="G11" s="15">
        <v>-1</v>
      </c>
      <c r="H11" s="15">
        <v>-1.2</v>
      </c>
      <c r="I11" s="15">
        <v>-1.5</v>
      </c>
      <c r="J11" s="15">
        <v>-1.5</v>
      </c>
      <c r="K11" s="15">
        <v>-1.5</v>
      </c>
      <c r="L11" s="15">
        <v>-1.5</v>
      </c>
      <c r="M11" s="15">
        <v>-1.5</v>
      </c>
      <c r="N11" s="15">
        <v>-1.5</v>
      </c>
      <c r="O11" s="15">
        <v>-1.2</v>
      </c>
      <c r="P11" s="15">
        <v>-1.2</v>
      </c>
      <c r="Q11" s="15">
        <v>-1.2</v>
      </c>
      <c r="R11" s="15">
        <v>-1.2</v>
      </c>
      <c r="S11" s="15">
        <v>-1</v>
      </c>
      <c r="T11" s="15">
        <v>-1</v>
      </c>
      <c r="U11" s="15">
        <v>-1</v>
      </c>
      <c r="V11" s="15">
        <v>-1</v>
      </c>
      <c r="W11" s="15">
        <v>-0.8</v>
      </c>
      <c r="X11" s="15">
        <v>-0.8</v>
      </c>
      <c r="Y11" s="15">
        <v>-0.8</v>
      </c>
      <c r="Z11" s="15">
        <v>-0.8</v>
      </c>
      <c r="AA11" s="15">
        <v>-0.6</v>
      </c>
      <c r="AB11" s="15">
        <v>-0.6</v>
      </c>
      <c r="AC11" s="15">
        <v>-0.6</v>
      </c>
      <c r="AD11" s="15">
        <v>-0.5</v>
      </c>
      <c r="AE11" s="15">
        <v>-0.5</v>
      </c>
      <c r="AF11" s="15">
        <v>-0.5</v>
      </c>
      <c r="AG11" s="15">
        <v>-0.5</v>
      </c>
      <c r="AH11" s="15">
        <v>-0.4</v>
      </c>
      <c r="AI11" s="15">
        <v>-0.4</v>
      </c>
      <c r="AJ11" s="15">
        <v>-0.4</v>
      </c>
      <c r="AK11" s="15">
        <v>-0.3</v>
      </c>
      <c r="AL11" s="15">
        <v>-0.3</v>
      </c>
      <c r="AM11" s="15">
        <v>-0.3</v>
      </c>
      <c r="AP11" s="40" t="s">
        <v>126</v>
      </c>
      <c r="AQ11" s="36"/>
    </row>
    <row r="12" spans="1:43" ht="17.5" customHeight="1">
      <c r="A12" s="34" t="s">
        <v>127</v>
      </c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6"/>
      <c r="AP12" s="3" t="s">
        <v>60</v>
      </c>
      <c r="AQ12" s="30" t="s">
        <v>61</v>
      </c>
    </row>
    <row r="13" spans="1:43" ht="17" customHeight="1">
      <c r="A13" s="14" t="s">
        <v>48</v>
      </c>
      <c r="B13" s="7" t="s">
        <v>128</v>
      </c>
      <c r="C13" s="18">
        <v>100509</v>
      </c>
      <c r="D13" s="18">
        <v>96081</v>
      </c>
      <c r="E13" s="18">
        <v>94000</v>
      </c>
      <c r="F13" s="18">
        <v>92500</v>
      </c>
      <c r="G13" s="18">
        <v>91000</v>
      </c>
      <c r="H13" s="18">
        <v>89500</v>
      </c>
      <c r="I13" s="18">
        <v>88000</v>
      </c>
      <c r="J13" s="18">
        <v>86800</v>
      </c>
      <c r="K13" s="18">
        <v>85600</v>
      </c>
      <c r="L13" s="18">
        <v>84400</v>
      </c>
      <c r="M13" s="18">
        <v>83200</v>
      </c>
      <c r="N13" s="18">
        <v>82000</v>
      </c>
      <c r="O13" s="18">
        <v>81200</v>
      </c>
      <c r="P13" s="18">
        <v>80500</v>
      </c>
      <c r="Q13" s="18">
        <v>79800</v>
      </c>
      <c r="R13" s="18">
        <v>79200</v>
      </c>
      <c r="S13" s="18">
        <v>78600</v>
      </c>
      <c r="T13" s="18">
        <v>78000</v>
      </c>
      <c r="U13" s="18">
        <v>77400</v>
      </c>
      <c r="V13" s="18">
        <v>76800</v>
      </c>
      <c r="W13" s="18">
        <v>76200</v>
      </c>
      <c r="X13" s="18">
        <v>75600</v>
      </c>
      <c r="Y13" s="18">
        <v>75000</v>
      </c>
      <c r="Z13" s="18">
        <v>74500</v>
      </c>
      <c r="AA13" s="18">
        <v>74000</v>
      </c>
      <c r="AB13" s="18">
        <v>73500</v>
      </c>
      <c r="AC13" s="18">
        <v>73000</v>
      </c>
      <c r="AD13" s="18">
        <v>72300</v>
      </c>
      <c r="AE13" s="18">
        <v>71600</v>
      </c>
      <c r="AF13" s="18">
        <v>70900</v>
      </c>
      <c r="AG13" s="18">
        <v>70200</v>
      </c>
      <c r="AH13" s="18">
        <v>69500</v>
      </c>
      <c r="AI13" s="18">
        <v>68800</v>
      </c>
      <c r="AJ13" s="18">
        <v>68200</v>
      </c>
      <c r="AK13" s="18">
        <v>67600</v>
      </c>
      <c r="AL13" s="18">
        <v>67100</v>
      </c>
      <c r="AM13" s="18">
        <v>66600</v>
      </c>
      <c r="AP13" s="3" t="s">
        <v>64</v>
      </c>
      <c r="AQ13" s="30" t="s">
        <v>65</v>
      </c>
    </row>
    <row r="14" spans="1:43" ht="17.5" customHeight="1">
      <c r="A14" s="34" t="s">
        <v>129</v>
      </c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6"/>
      <c r="AP14" s="3" t="s">
        <v>68</v>
      </c>
      <c r="AQ14" s="30" t="s">
        <v>69</v>
      </c>
    </row>
    <row r="15" spans="1:43" ht="17" customHeight="1">
      <c r="A15" s="14" t="s">
        <v>64</v>
      </c>
      <c r="B15" s="7" t="s">
        <v>130</v>
      </c>
      <c r="C15" s="15">
        <v>10</v>
      </c>
      <c r="D15" s="15">
        <v>10.33333333333333</v>
      </c>
      <c r="E15" s="15">
        <v>10.66666666666667</v>
      </c>
      <c r="F15" s="15">
        <v>11</v>
      </c>
      <c r="G15" s="15">
        <v>11.33333333333333</v>
      </c>
      <c r="H15" s="15">
        <v>11.66666666666667</v>
      </c>
      <c r="I15" s="15">
        <v>12</v>
      </c>
      <c r="J15" s="15">
        <v>12.8</v>
      </c>
      <c r="K15" s="15">
        <v>13.6</v>
      </c>
      <c r="L15" s="15">
        <v>14.4</v>
      </c>
      <c r="M15" s="15">
        <v>15.2</v>
      </c>
      <c r="N15" s="15">
        <v>16</v>
      </c>
      <c r="O15" s="15">
        <v>17.2</v>
      </c>
      <c r="P15" s="15">
        <v>18.399999999999999</v>
      </c>
      <c r="Q15" s="15">
        <v>19.600000000000001</v>
      </c>
      <c r="R15" s="15">
        <v>20.8</v>
      </c>
      <c r="S15" s="15">
        <v>22</v>
      </c>
      <c r="T15" s="15">
        <v>23</v>
      </c>
      <c r="U15" s="15">
        <v>24</v>
      </c>
      <c r="V15" s="15">
        <v>25</v>
      </c>
      <c r="W15" s="15">
        <v>26</v>
      </c>
      <c r="X15" s="15">
        <v>27</v>
      </c>
      <c r="Y15" s="15">
        <v>28</v>
      </c>
      <c r="Z15" s="15">
        <v>29</v>
      </c>
      <c r="AA15" s="15">
        <v>30</v>
      </c>
      <c r="AB15" s="15">
        <v>31</v>
      </c>
      <c r="AC15" s="15">
        <v>32</v>
      </c>
      <c r="AD15" s="15">
        <v>33</v>
      </c>
      <c r="AE15" s="15">
        <v>34</v>
      </c>
      <c r="AF15" s="15">
        <v>35</v>
      </c>
      <c r="AG15" s="15">
        <v>36</v>
      </c>
      <c r="AH15" s="15">
        <v>37</v>
      </c>
      <c r="AI15" s="15">
        <v>38</v>
      </c>
      <c r="AJ15" s="15">
        <v>39</v>
      </c>
      <c r="AK15" s="15">
        <v>40</v>
      </c>
      <c r="AL15" s="15">
        <v>41</v>
      </c>
      <c r="AM15" s="15">
        <v>42</v>
      </c>
    </row>
    <row r="16" spans="1:43" ht="17" customHeight="1">
      <c r="A16" s="14" t="s">
        <v>68</v>
      </c>
      <c r="B16" s="7" t="s">
        <v>131</v>
      </c>
      <c r="C16" s="17">
        <v>1</v>
      </c>
      <c r="D16" s="17">
        <v>1.1333333333333331</v>
      </c>
      <c r="E16" s="17">
        <v>1.2666666666666671</v>
      </c>
      <c r="F16" s="17">
        <v>1.4</v>
      </c>
      <c r="G16" s="17">
        <v>1.533333333333333</v>
      </c>
      <c r="H16" s="17">
        <v>1.666666666666667</v>
      </c>
      <c r="I16" s="17">
        <v>1.8</v>
      </c>
      <c r="J16" s="17">
        <v>2.04</v>
      </c>
      <c r="K16" s="17">
        <v>2.2799999999999998</v>
      </c>
      <c r="L16" s="17">
        <v>2.52</v>
      </c>
      <c r="M16" s="17">
        <v>2.76</v>
      </c>
      <c r="N16" s="17">
        <v>3</v>
      </c>
      <c r="O16" s="17">
        <v>3.6</v>
      </c>
      <c r="P16" s="17">
        <v>4.2</v>
      </c>
      <c r="Q16" s="17">
        <v>4.8</v>
      </c>
      <c r="R16" s="17">
        <v>5.4</v>
      </c>
      <c r="S16" s="17">
        <v>6</v>
      </c>
      <c r="T16" s="17">
        <v>6.5</v>
      </c>
      <c r="U16" s="17">
        <v>7</v>
      </c>
      <c r="V16" s="17">
        <v>7.5</v>
      </c>
      <c r="W16" s="17">
        <v>8</v>
      </c>
      <c r="X16" s="17">
        <v>8.5</v>
      </c>
      <c r="Y16" s="17">
        <v>9</v>
      </c>
      <c r="Z16" s="17">
        <v>9.5</v>
      </c>
      <c r="AA16" s="17">
        <v>10</v>
      </c>
      <c r="AB16" s="17">
        <v>10.5</v>
      </c>
      <c r="AC16" s="17">
        <v>11</v>
      </c>
      <c r="AD16" s="17">
        <v>11.4</v>
      </c>
      <c r="AE16" s="17">
        <v>11.8</v>
      </c>
      <c r="AF16" s="17">
        <v>12.2</v>
      </c>
      <c r="AG16" s="17">
        <v>12.6</v>
      </c>
      <c r="AH16" s="17">
        <v>13</v>
      </c>
      <c r="AI16" s="17">
        <v>13.4</v>
      </c>
      <c r="AJ16" s="17">
        <v>13.8</v>
      </c>
      <c r="AK16" s="17">
        <v>14.2</v>
      </c>
      <c r="AL16" s="17">
        <v>14.6</v>
      </c>
      <c r="AM16" s="17">
        <v>15</v>
      </c>
      <c r="AP16" s="3" t="s">
        <v>58</v>
      </c>
      <c r="AQ16" s="30" t="s">
        <v>59</v>
      </c>
    </row>
    <row r="17" spans="1:43" ht="17" customHeight="1">
      <c r="A17" s="14" t="s">
        <v>60</v>
      </c>
      <c r="B17" s="7" t="e">
        <f>1-短流程%-氢冶金%</f>
        <v>#NAME?</v>
      </c>
      <c r="C17" s="19">
        <f t="shared" ref="C17:AM17" si="0">1-C15/100-C16/100</f>
        <v>0.89</v>
      </c>
      <c r="D17" s="19">
        <f t="shared" si="0"/>
        <v>0.88533333333333342</v>
      </c>
      <c r="E17" s="19">
        <f t="shared" si="0"/>
        <v>0.8806666666666666</v>
      </c>
      <c r="F17" s="19">
        <f t="shared" si="0"/>
        <v>0.876</v>
      </c>
      <c r="G17" s="19">
        <f t="shared" si="0"/>
        <v>0.8713333333333334</v>
      </c>
      <c r="H17" s="19">
        <f t="shared" si="0"/>
        <v>0.86666666666666659</v>
      </c>
      <c r="I17" s="19">
        <f t="shared" si="0"/>
        <v>0.86199999999999999</v>
      </c>
      <c r="J17" s="19">
        <f t="shared" si="0"/>
        <v>0.85160000000000002</v>
      </c>
      <c r="K17" s="19">
        <f t="shared" si="0"/>
        <v>0.84119999999999995</v>
      </c>
      <c r="L17" s="19">
        <f t="shared" si="0"/>
        <v>0.83079999999999998</v>
      </c>
      <c r="M17" s="19">
        <f t="shared" si="0"/>
        <v>0.82040000000000002</v>
      </c>
      <c r="N17" s="19">
        <f t="shared" si="0"/>
        <v>0.80999999999999994</v>
      </c>
      <c r="O17" s="19">
        <f t="shared" si="0"/>
        <v>0.79200000000000004</v>
      </c>
      <c r="P17" s="19">
        <f t="shared" si="0"/>
        <v>0.77400000000000002</v>
      </c>
      <c r="Q17" s="19">
        <f t="shared" si="0"/>
        <v>0.75600000000000001</v>
      </c>
      <c r="R17" s="19">
        <f t="shared" si="0"/>
        <v>0.73799999999999999</v>
      </c>
      <c r="S17" s="19">
        <f t="shared" si="0"/>
        <v>0.72</v>
      </c>
      <c r="T17" s="19">
        <f t="shared" si="0"/>
        <v>0.70500000000000007</v>
      </c>
      <c r="U17" s="19">
        <f t="shared" si="0"/>
        <v>0.69</v>
      </c>
      <c r="V17" s="19">
        <f t="shared" si="0"/>
        <v>0.67500000000000004</v>
      </c>
      <c r="W17" s="19">
        <f t="shared" si="0"/>
        <v>0.66</v>
      </c>
      <c r="X17" s="19">
        <f t="shared" si="0"/>
        <v>0.64500000000000002</v>
      </c>
      <c r="Y17" s="19">
        <f t="shared" si="0"/>
        <v>0.63</v>
      </c>
      <c r="Z17" s="19">
        <f t="shared" si="0"/>
        <v>0.61499999999999999</v>
      </c>
      <c r="AA17" s="19">
        <f t="shared" si="0"/>
        <v>0.6</v>
      </c>
      <c r="AB17" s="19">
        <f t="shared" si="0"/>
        <v>0.58499999999999996</v>
      </c>
      <c r="AC17" s="19">
        <f t="shared" si="0"/>
        <v>0.56999999999999995</v>
      </c>
      <c r="AD17" s="19">
        <f t="shared" si="0"/>
        <v>0.55599999999999994</v>
      </c>
      <c r="AE17" s="19">
        <f t="shared" si="0"/>
        <v>0.54199999999999993</v>
      </c>
      <c r="AF17" s="19">
        <f t="shared" si="0"/>
        <v>0.52800000000000002</v>
      </c>
      <c r="AG17" s="19">
        <f t="shared" si="0"/>
        <v>0.51400000000000001</v>
      </c>
      <c r="AH17" s="19">
        <f t="shared" si="0"/>
        <v>0.5</v>
      </c>
      <c r="AI17" s="19">
        <f t="shared" si="0"/>
        <v>0.48599999999999999</v>
      </c>
      <c r="AJ17" s="19">
        <f t="shared" si="0"/>
        <v>0.47199999999999998</v>
      </c>
      <c r="AK17" s="19">
        <f t="shared" si="0"/>
        <v>0.45799999999999996</v>
      </c>
      <c r="AL17" s="19">
        <f t="shared" si="0"/>
        <v>0.44400000000000006</v>
      </c>
      <c r="AM17" s="19">
        <f t="shared" si="0"/>
        <v>0.43000000000000005</v>
      </c>
      <c r="AP17" s="3" t="s">
        <v>62</v>
      </c>
      <c r="AQ17" s="30" t="s">
        <v>63</v>
      </c>
    </row>
    <row r="18" spans="1:43" ht="17" customHeight="1">
      <c r="A18" s="2" t="s">
        <v>132</v>
      </c>
      <c r="B18" s="7" t="e">
        <f>长流程产量公式</f>
        <v>#NAME?</v>
      </c>
      <c r="C18" s="20">
        <f t="shared" ref="C18:AM18" si="1">C13*C17</f>
        <v>89453.01</v>
      </c>
      <c r="D18" s="20">
        <f t="shared" si="1"/>
        <v>85063.712000000014</v>
      </c>
      <c r="E18" s="20">
        <f t="shared" si="1"/>
        <v>82782.666666666657</v>
      </c>
      <c r="F18" s="20">
        <f t="shared" si="1"/>
        <v>81030</v>
      </c>
      <c r="G18" s="20">
        <f t="shared" si="1"/>
        <v>79291.333333333343</v>
      </c>
      <c r="H18" s="20">
        <f t="shared" si="1"/>
        <v>77566.666666666657</v>
      </c>
      <c r="I18" s="20">
        <f t="shared" si="1"/>
        <v>75856</v>
      </c>
      <c r="J18" s="20">
        <f t="shared" si="1"/>
        <v>73918.880000000005</v>
      </c>
      <c r="K18" s="20">
        <f t="shared" si="1"/>
        <v>72006.720000000001</v>
      </c>
      <c r="L18" s="20">
        <f t="shared" si="1"/>
        <v>70119.520000000004</v>
      </c>
      <c r="M18" s="20">
        <f t="shared" si="1"/>
        <v>68257.279999999999</v>
      </c>
      <c r="N18" s="20">
        <f t="shared" si="1"/>
        <v>66420</v>
      </c>
      <c r="O18" s="20">
        <f t="shared" si="1"/>
        <v>64310.400000000001</v>
      </c>
      <c r="P18" s="20">
        <f t="shared" si="1"/>
        <v>62307</v>
      </c>
      <c r="Q18" s="20">
        <f t="shared" si="1"/>
        <v>60328.800000000003</v>
      </c>
      <c r="R18" s="20">
        <f t="shared" si="1"/>
        <v>58449.599999999999</v>
      </c>
      <c r="S18" s="20">
        <f t="shared" si="1"/>
        <v>56592</v>
      </c>
      <c r="T18" s="20">
        <f t="shared" si="1"/>
        <v>54990.000000000007</v>
      </c>
      <c r="U18" s="20">
        <f t="shared" si="1"/>
        <v>53405.999999999993</v>
      </c>
      <c r="V18" s="20">
        <f t="shared" si="1"/>
        <v>51840</v>
      </c>
      <c r="W18" s="20">
        <f t="shared" si="1"/>
        <v>50292</v>
      </c>
      <c r="X18" s="20">
        <f t="shared" si="1"/>
        <v>48762</v>
      </c>
      <c r="Y18" s="20">
        <f t="shared" si="1"/>
        <v>47250</v>
      </c>
      <c r="Z18" s="20">
        <f t="shared" si="1"/>
        <v>45817.5</v>
      </c>
      <c r="AA18" s="20">
        <f t="shared" si="1"/>
        <v>44400</v>
      </c>
      <c r="AB18" s="20">
        <f t="shared" si="1"/>
        <v>42997.5</v>
      </c>
      <c r="AC18" s="20">
        <f t="shared" si="1"/>
        <v>41610</v>
      </c>
      <c r="AD18" s="20">
        <f t="shared" si="1"/>
        <v>40198.799999999996</v>
      </c>
      <c r="AE18" s="20">
        <f t="shared" si="1"/>
        <v>38807.199999999997</v>
      </c>
      <c r="AF18" s="20">
        <f t="shared" si="1"/>
        <v>37435.200000000004</v>
      </c>
      <c r="AG18" s="20">
        <f t="shared" si="1"/>
        <v>36082.800000000003</v>
      </c>
      <c r="AH18" s="20">
        <f t="shared" si="1"/>
        <v>34750</v>
      </c>
      <c r="AI18" s="20">
        <f t="shared" si="1"/>
        <v>33436.799999999996</v>
      </c>
      <c r="AJ18" s="20">
        <f t="shared" si="1"/>
        <v>32190.399999999998</v>
      </c>
      <c r="AK18" s="20">
        <f t="shared" si="1"/>
        <v>30960.799999999999</v>
      </c>
      <c r="AL18" s="20">
        <f t="shared" si="1"/>
        <v>29792.400000000005</v>
      </c>
      <c r="AM18" s="20">
        <f t="shared" si="1"/>
        <v>28638.000000000004</v>
      </c>
      <c r="AP18" s="3" t="s">
        <v>66</v>
      </c>
      <c r="AQ18" s="30" t="s">
        <v>67</v>
      </c>
    </row>
    <row r="19" spans="1:43" ht="17" customHeight="1">
      <c r="A19" s="2" t="s">
        <v>133</v>
      </c>
      <c r="B19" s="7" t="e">
        <f>短流程产量公式</f>
        <v>#NAME?</v>
      </c>
      <c r="C19" s="20">
        <f t="shared" ref="C19:AM19" si="2">C13*C15/100</f>
        <v>10050.9</v>
      </c>
      <c r="D19" s="20">
        <f t="shared" si="2"/>
        <v>9928.3699999999972</v>
      </c>
      <c r="E19" s="20">
        <f t="shared" si="2"/>
        <v>10026.66666666667</v>
      </c>
      <c r="F19" s="20">
        <f t="shared" si="2"/>
        <v>10175</v>
      </c>
      <c r="G19" s="20">
        <f t="shared" si="2"/>
        <v>10313.33333333333</v>
      </c>
      <c r="H19" s="20">
        <f t="shared" si="2"/>
        <v>10441.66666666667</v>
      </c>
      <c r="I19" s="20">
        <f t="shared" si="2"/>
        <v>10560</v>
      </c>
      <c r="J19" s="20">
        <f t="shared" si="2"/>
        <v>11110.4</v>
      </c>
      <c r="K19" s="20">
        <f t="shared" si="2"/>
        <v>11641.6</v>
      </c>
      <c r="L19" s="20">
        <f t="shared" si="2"/>
        <v>12153.6</v>
      </c>
      <c r="M19" s="20">
        <f t="shared" si="2"/>
        <v>12646.4</v>
      </c>
      <c r="N19" s="20">
        <f t="shared" si="2"/>
        <v>13120</v>
      </c>
      <c r="O19" s="20">
        <f t="shared" si="2"/>
        <v>13966.4</v>
      </c>
      <c r="P19" s="20">
        <f t="shared" si="2"/>
        <v>14812</v>
      </c>
      <c r="Q19" s="20">
        <f t="shared" si="2"/>
        <v>15640.8</v>
      </c>
      <c r="R19" s="20">
        <f t="shared" si="2"/>
        <v>16473.599999999999</v>
      </c>
      <c r="S19" s="20">
        <f t="shared" si="2"/>
        <v>17292</v>
      </c>
      <c r="T19" s="20">
        <f t="shared" si="2"/>
        <v>17940</v>
      </c>
      <c r="U19" s="20">
        <f t="shared" si="2"/>
        <v>18576</v>
      </c>
      <c r="V19" s="20">
        <f t="shared" si="2"/>
        <v>19200</v>
      </c>
      <c r="W19" s="20">
        <f t="shared" si="2"/>
        <v>19812</v>
      </c>
      <c r="X19" s="20">
        <f t="shared" si="2"/>
        <v>20412</v>
      </c>
      <c r="Y19" s="20">
        <f t="shared" si="2"/>
        <v>21000</v>
      </c>
      <c r="Z19" s="20">
        <f t="shared" si="2"/>
        <v>21605</v>
      </c>
      <c r="AA19" s="20">
        <f t="shared" si="2"/>
        <v>22200</v>
      </c>
      <c r="AB19" s="20">
        <f t="shared" si="2"/>
        <v>22785</v>
      </c>
      <c r="AC19" s="20">
        <f t="shared" si="2"/>
        <v>23360</v>
      </c>
      <c r="AD19" s="20">
        <f t="shared" si="2"/>
        <v>23859</v>
      </c>
      <c r="AE19" s="20">
        <f t="shared" si="2"/>
        <v>24344</v>
      </c>
      <c r="AF19" s="20">
        <f t="shared" si="2"/>
        <v>24815</v>
      </c>
      <c r="AG19" s="20">
        <f t="shared" si="2"/>
        <v>25272</v>
      </c>
      <c r="AH19" s="20">
        <f t="shared" si="2"/>
        <v>25715</v>
      </c>
      <c r="AI19" s="20">
        <f t="shared" si="2"/>
        <v>26144</v>
      </c>
      <c r="AJ19" s="20">
        <f t="shared" si="2"/>
        <v>26598</v>
      </c>
      <c r="AK19" s="20">
        <f t="shared" si="2"/>
        <v>27040</v>
      </c>
      <c r="AL19" s="20">
        <f t="shared" si="2"/>
        <v>27511</v>
      </c>
      <c r="AM19" s="20">
        <f t="shared" si="2"/>
        <v>27972</v>
      </c>
    </row>
    <row r="20" spans="1:43" ht="17" customHeight="1">
      <c r="A20" s="2" t="s">
        <v>134</v>
      </c>
      <c r="B20" s="7" t="e">
        <f>氢冶金产量公式</f>
        <v>#NAME?</v>
      </c>
      <c r="C20" s="20">
        <f t="shared" ref="C20:AM20" si="3">C13*C16/100</f>
        <v>1005.09</v>
      </c>
      <c r="D20" s="20">
        <f t="shared" si="3"/>
        <v>1088.9179999999997</v>
      </c>
      <c r="E20" s="20">
        <f t="shared" si="3"/>
        <v>1190.666666666667</v>
      </c>
      <c r="F20" s="20">
        <f t="shared" si="3"/>
        <v>1294.9999999999998</v>
      </c>
      <c r="G20" s="20">
        <f t="shared" si="3"/>
        <v>1395.333333333333</v>
      </c>
      <c r="H20" s="20">
        <f t="shared" si="3"/>
        <v>1491.666666666667</v>
      </c>
      <c r="I20" s="20">
        <f t="shared" si="3"/>
        <v>1584</v>
      </c>
      <c r="J20" s="20">
        <f t="shared" si="3"/>
        <v>1770.72</v>
      </c>
      <c r="K20" s="20">
        <f t="shared" si="3"/>
        <v>1951.6799999999996</v>
      </c>
      <c r="L20" s="20">
        <f t="shared" si="3"/>
        <v>2126.88</v>
      </c>
      <c r="M20" s="20">
        <f t="shared" si="3"/>
        <v>2296.3199999999997</v>
      </c>
      <c r="N20" s="20">
        <f t="shared" si="3"/>
        <v>2460</v>
      </c>
      <c r="O20" s="20">
        <f t="shared" si="3"/>
        <v>2923.2</v>
      </c>
      <c r="P20" s="20">
        <f t="shared" si="3"/>
        <v>3381</v>
      </c>
      <c r="Q20" s="20">
        <f t="shared" si="3"/>
        <v>3830.4</v>
      </c>
      <c r="R20" s="20">
        <f t="shared" si="3"/>
        <v>4276.8</v>
      </c>
      <c r="S20" s="20">
        <f t="shared" si="3"/>
        <v>4716</v>
      </c>
      <c r="T20" s="20">
        <f t="shared" si="3"/>
        <v>5070</v>
      </c>
      <c r="U20" s="20">
        <f t="shared" si="3"/>
        <v>5418</v>
      </c>
      <c r="V20" s="20">
        <f t="shared" si="3"/>
        <v>5760</v>
      </c>
      <c r="W20" s="20">
        <f t="shared" si="3"/>
        <v>6096</v>
      </c>
      <c r="X20" s="20">
        <f t="shared" si="3"/>
        <v>6426</v>
      </c>
      <c r="Y20" s="20">
        <f t="shared" si="3"/>
        <v>6750</v>
      </c>
      <c r="Z20" s="20">
        <f t="shared" si="3"/>
        <v>7077.5</v>
      </c>
      <c r="AA20" s="20">
        <f t="shared" si="3"/>
        <v>7400</v>
      </c>
      <c r="AB20" s="20">
        <f t="shared" si="3"/>
        <v>7717.5</v>
      </c>
      <c r="AC20" s="20">
        <f t="shared" si="3"/>
        <v>8030</v>
      </c>
      <c r="AD20" s="20">
        <f t="shared" si="3"/>
        <v>8242.2000000000007</v>
      </c>
      <c r="AE20" s="20">
        <f t="shared" si="3"/>
        <v>8448.7999999999993</v>
      </c>
      <c r="AF20" s="20">
        <f t="shared" si="3"/>
        <v>8649.7999999999993</v>
      </c>
      <c r="AG20" s="20">
        <f t="shared" si="3"/>
        <v>8845.2000000000007</v>
      </c>
      <c r="AH20" s="20">
        <f t="shared" si="3"/>
        <v>9035</v>
      </c>
      <c r="AI20" s="20">
        <f t="shared" si="3"/>
        <v>9219.2000000000007</v>
      </c>
      <c r="AJ20" s="20">
        <f t="shared" si="3"/>
        <v>9411.6</v>
      </c>
      <c r="AK20" s="20">
        <f t="shared" si="3"/>
        <v>9599.2000000000007</v>
      </c>
      <c r="AL20" s="20">
        <f t="shared" si="3"/>
        <v>9796.6</v>
      </c>
      <c r="AM20" s="20">
        <f t="shared" si="3"/>
        <v>9990</v>
      </c>
      <c r="AP20" s="3" t="s">
        <v>135</v>
      </c>
      <c r="AQ20" s="30" t="s">
        <v>136</v>
      </c>
    </row>
    <row r="21" spans="1:43" ht="17.5" customHeight="1">
      <c r="A21" s="34" t="s">
        <v>137</v>
      </c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6"/>
      <c r="AP21" s="3" t="s">
        <v>138</v>
      </c>
      <c r="AQ21" s="30" t="s">
        <v>139</v>
      </c>
    </row>
    <row r="22" spans="1:43" ht="28" customHeight="1">
      <c r="A22" s="7" t="s">
        <v>140</v>
      </c>
      <c r="B22" s="7" t="s">
        <v>141</v>
      </c>
      <c r="C22" s="21">
        <v>28808</v>
      </c>
      <c r="D22" s="21">
        <v>28229</v>
      </c>
      <c r="E22" s="21">
        <v>29969</v>
      </c>
      <c r="F22" s="21">
        <v>29387</v>
      </c>
      <c r="G22" s="21">
        <v>29387</v>
      </c>
      <c r="H22" s="21">
        <v>28789</v>
      </c>
      <c r="I22" s="21">
        <v>32769</v>
      </c>
      <c r="J22" s="21">
        <v>34491</v>
      </c>
      <c r="K22" s="21">
        <v>36732</v>
      </c>
      <c r="L22" s="21">
        <v>37921</v>
      </c>
      <c r="M22" s="21">
        <v>40610</v>
      </c>
      <c r="N22" s="21">
        <v>41361</v>
      </c>
      <c r="O22" s="21">
        <v>39766</v>
      </c>
      <c r="P22" s="21">
        <v>40502</v>
      </c>
      <c r="Q22" s="21">
        <v>43587</v>
      </c>
      <c r="R22" s="21">
        <v>48920</v>
      </c>
      <c r="S22" s="21">
        <v>49354</v>
      </c>
      <c r="T22" s="21">
        <v>53285</v>
      </c>
      <c r="U22" s="21">
        <v>53684</v>
      </c>
      <c r="V22" s="21">
        <v>57951</v>
      </c>
      <c r="W22" s="21">
        <v>57041</v>
      </c>
      <c r="X22" s="21">
        <v>57897</v>
      </c>
      <c r="Y22" s="21">
        <v>58206</v>
      </c>
      <c r="Z22" s="21">
        <v>58406</v>
      </c>
      <c r="AA22" s="21">
        <v>58447</v>
      </c>
      <c r="AB22" s="21">
        <v>58384</v>
      </c>
      <c r="AC22" s="21">
        <v>58168</v>
      </c>
      <c r="AD22" s="21">
        <v>57730</v>
      </c>
      <c r="AE22" s="21">
        <v>57366</v>
      </c>
      <c r="AF22" s="21">
        <v>57787</v>
      </c>
      <c r="AG22" s="21">
        <v>57476</v>
      </c>
      <c r="AH22" s="21">
        <v>57995</v>
      </c>
      <c r="AI22" s="21">
        <v>56989</v>
      </c>
      <c r="AJ22" s="21">
        <v>55995</v>
      </c>
      <c r="AK22" s="21">
        <v>55102</v>
      </c>
      <c r="AL22" s="21">
        <v>54192</v>
      </c>
      <c r="AM22" s="21">
        <v>53288</v>
      </c>
      <c r="AP22" s="3" t="s">
        <v>142</v>
      </c>
      <c r="AQ22" s="30" t="s">
        <v>143</v>
      </c>
    </row>
    <row r="23" spans="1:43" ht="17" customHeight="1">
      <c r="A23" s="2" t="s">
        <v>144</v>
      </c>
      <c r="B23" s="7" t="s">
        <v>145</v>
      </c>
      <c r="C23" s="20">
        <f t="shared" ref="C23:AM23" si="4">C18*0.3</f>
        <v>26835.902999999998</v>
      </c>
      <c r="D23" s="20">
        <f t="shared" si="4"/>
        <v>25519.113600000004</v>
      </c>
      <c r="E23" s="20">
        <f t="shared" si="4"/>
        <v>24834.799999999996</v>
      </c>
      <c r="F23" s="20">
        <f t="shared" si="4"/>
        <v>24309</v>
      </c>
      <c r="G23" s="20">
        <f t="shared" si="4"/>
        <v>23787.4</v>
      </c>
      <c r="H23" s="20">
        <f t="shared" si="4"/>
        <v>23269.999999999996</v>
      </c>
      <c r="I23" s="20">
        <f t="shared" si="4"/>
        <v>22756.799999999999</v>
      </c>
      <c r="J23" s="20">
        <f t="shared" si="4"/>
        <v>22175.664000000001</v>
      </c>
      <c r="K23" s="20">
        <f t="shared" si="4"/>
        <v>21602.016</v>
      </c>
      <c r="L23" s="20">
        <f t="shared" si="4"/>
        <v>21035.856</v>
      </c>
      <c r="M23" s="20">
        <f t="shared" si="4"/>
        <v>20477.183999999997</v>
      </c>
      <c r="N23" s="20">
        <f t="shared" si="4"/>
        <v>19926</v>
      </c>
      <c r="O23" s="20">
        <f t="shared" si="4"/>
        <v>19293.12</v>
      </c>
      <c r="P23" s="20">
        <f t="shared" si="4"/>
        <v>18692.099999999999</v>
      </c>
      <c r="Q23" s="20">
        <f t="shared" si="4"/>
        <v>18098.64</v>
      </c>
      <c r="R23" s="20">
        <f t="shared" si="4"/>
        <v>17534.879999999997</v>
      </c>
      <c r="S23" s="20">
        <f t="shared" si="4"/>
        <v>16977.599999999999</v>
      </c>
      <c r="T23" s="20">
        <f t="shared" si="4"/>
        <v>16497</v>
      </c>
      <c r="U23" s="20">
        <f t="shared" si="4"/>
        <v>16021.799999999997</v>
      </c>
      <c r="V23" s="20">
        <f t="shared" si="4"/>
        <v>15552</v>
      </c>
      <c r="W23" s="20">
        <f t="shared" si="4"/>
        <v>15087.599999999999</v>
      </c>
      <c r="X23" s="20">
        <f t="shared" si="4"/>
        <v>14628.6</v>
      </c>
      <c r="Y23" s="20">
        <f t="shared" si="4"/>
        <v>14175</v>
      </c>
      <c r="Z23" s="20">
        <f t="shared" si="4"/>
        <v>13745.25</v>
      </c>
      <c r="AA23" s="20">
        <f t="shared" si="4"/>
        <v>13320</v>
      </c>
      <c r="AB23" s="20">
        <f t="shared" si="4"/>
        <v>12899.25</v>
      </c>
      <c r="AC23" s="20">
        <f t="shared" si="4"/>
        <v>12483</v>
      </c>
      <c r="AD23" s="20">
        <f t="shared" si="4"/>
        <v>12059.639999999998</v>
      </c>
      <c r="AE23" s="20">
        <f t="shared" si="4"/>
        <v>11642.159999999998</v>
      </c>
      <c r="AF23" s="20">
        <f t="shared" si="4"/>
        <v>11230.560000000001</v>
      </c>
      <c r="AG23" s="20">
        <f t="shared" si="4"/>
        <v>10824.84</v>
      </c>
      <c r="AH23" s="20">
        <f t="shared" si="4"/>
        <v>10425</v>
      </c>
      <c r="AI23" s="20">
        <f t="shared" si="4"/>
        <v>10031.039999999999</v>
      </c>
      <c r="AJ23" s="20">
        <f t="shared" si="4"/>
        <v>9657.119999999999</v>
      </c>
      <c r="AK23" s="20">
        <f t="shared" si="4"/>
        <v>9288.24</v>
      </c>
      <c r="AL23" s="20">
        <f t="shared" si="4"/>
        <v>8937.7200000000012</v>
      </c>
      <c r="AM23" s="20">
        <f t="shared" si="4"/>
        <v>8591.4000000000015</v>
      </c>
      <c r="AP23" s="3" t="s">
        <v>146</v>
      </c>
      <c r="AQ23" s="30" t="s">
        <v>147</v>
      </c>
    </row>
    <row r="24" spans="1:43" ht="17" customHeight="1">
      <c r="A24" s="2" t="s">
        <v>148</v>
      </c>
      <c r="B24" s="7" t="s">
        <v>145</v>
      </c>
      <c r="C24" s="20">
        <f t="shared" ref="C24:AM24" si="5">(C18-C23/1.1)*1.053*1.65</f>
        <v>113032.82343599999</v>
      </c>
      <c r="D24" s="20">
        <f t="shared" si="5"/>
        <v>107486.50648320001</v>
      </c>
      <c r="E24" s="20">
        <f t="shared" si="5"/>
        <v>104604.17759999998</v>
      </c>
      <c r="F24" s="20">
        <f t="shared" si="5"/>
        <v>102389.50799999999</v>
      </c>
      <c r="G24" s="20">
        <f t="shared" si="5"/>
        <v>100192.52880000001</v>
      </c>
      <c r="H24" s="20">
        <f t="shared" si="5"/>
        <v>98013.239999999991</v>
      </c>
      <c r="I24" s="20">
        <f t="shared" si="5"/>
        <v>95851.641599999988</v>
      </c>
      <c r="J24" s="20">
        <f t="shared" si="5"/>
        <v>93403.896767999991</v>
      </c>
      <c r="K24" s="20">
        <f t="shared" si="5"/>
        <v>90987.691391999993</v>
      </c>
      <c r="L24" s="20">
        <f t="shared" si="5"/>
        <v>88603.025472000008</v>
      </c>
      <c r="M24" s="20">
        <f t="shared" si="5"/>
        <v>86249.899008000008</v>
      </c>
      <c r="N24" s="20">
        <f t="shared" si="5"/>
        <v>83928.311999999991</v>
      </c>
      <c r="O24" s="20">
        <f t="shared" si="5"/>
        <v>81262.621440000003</v>
      </c>
      <c r="P24" s="20">
        <f t="shared" si="5"/>
        <v>78731.125199999995</v>
      </c>
      <c r="Q24" s="20">
        <f t="shared" si="5"/>
        <v>76231.471680000002</v>
      </c>
      <c r="R24" s="20">
        <f t="shared" si="5"/>
        <v>73856.91455999999</v>
      </c>
      <c r="S24" s="20">
        <f t="shared" si="5"/>
        <v>71509.651199999993</v>
      </c>
      <c r="T24" s="20">
        <f t="shared" si="5"/>
        <v>69485.364000000001</v>
      </c>
      <c r="U24" s="20">
        <f t="shared" si="5"/>
        <v>67483.821599999981</v>
      </c>
      <c r="V24" s="20">
        <f t="shared" si="5"/>
        <v>65505.02399999999</v>
      </c>
      <c r="W24" s="20">
        <f t="shared" si="5"/>
        <v>63548.971199999993</v>
      </c>
      <c r="X24" s="20">
        <f t="shared" si="5"/>
        <v>61615.663199999988</v>
      </c>
      <c r="Y24" s="20">
        <f t="shared" si="5"/>
        <v>59705.100000000006</v>
      </c>
      <c r="Z24" s="20">
        <f t="shared" si="5"/>
        <v>57894.992999999995</v>
      </c>
      <c r="AA24" s="20">
        <f t="shared" si="5"/>
        <v>56103.839999999997</v>
      </c>
      <c r="AB24" s="20">
        <f t="shared" si="5"/>
        <v>54331.640999999996</v>
      </c>
      <c r="AC24" s="20">
        <f t="shared" si="5"/>
        <v>52578.396000000001</v>
      </c>
      <c r="AD24" s="20">
        <f t="shared" si="5"/>
        <v>50795.203679999991</v>
      </c>
      <c r="AE24" s="20">
        <f t="shared" si="5"/>
        <v>49036.77792</v>
      </c>
      <c r="AF24" s="20">
        <f t="shared" si="5"/>
        <v>47303.118720000006</v>
      </c>
      <c r="AG24" s="20">
        <f t="shared" si="5"/>
        <v>45594.226080000008</v>
      </c>
      <c r="AH24" s="20">
        <f t="shared" si="5"/>
        <v>43910.099999999991</v>
      </c>
      <c r="AI24" s="20">
        <f t="shared" si="5"/>
        <v>42250.740479999986</v>
      </c>
      <c r="AJ24" s="20">
        <f t="shared" si="5"/>
        <v>40675.789439999986</v>
      </c>
      <c r="AK24" s="20">
        <f t="shared" si="5"/>
        <v>39122.066879999998</v>
      </c>
      <c r="AL24" s="20">
        <f t="shared" si="5"/>
        <v>37645.676640000005</v>
      </c>
      <c r="AM24" s="20">
        <f t="shared" si="5"/>
        <v>36186.976800000004</v>
      </c>
    </row>
    <row r="25" spans="1:43" ht="17" customHeight="1">
      <c r="A25" s="2" t="s">
        <v>149</v>
      </c>
      <c r="B25" s="7" t="s">
        <v>145</v>
      </c>
      <c r="C25" s="20">
        <f t="shared" ref="C25:AM25" si="6">C19*1.1</f>
        <v>11055.99</v>
      </c>
      <c r="D25" s="20">
        <f t="shared" si="6"/>
        <v>10921.206999999999</v>
      </c>
      <c r="E25" s="20">
        <f t="shared" si="6"/>
        <v>11029.333333333338</v>
      </c>
      <c r="F25" s="20">
        <f t="shared" si="6"/>
        <v>11192.5</v>
      </c>
      <c r="G25" s="20">
        <f t="shared" si="6"/>
        <v>11344.666666666664</v>
      </c>
      <c r="H25" s="20">
        <f t="shared" si="6"/>
        <v>11485.833333333338</v>
      </c>
      <c r="I25" s="20">
        <f t="shared" si="6"/>
        <v>11616.000000000002</v>
      </c>
      <c r="J25" s="20">
        <f t="shared" si="6"/>
        <v>12221.44</v>
      </c>
      <c r="K25" s="20">
        <f t="shared" si="6"/>
        <v>12805.760000000002</v>
      </c>
      <c r="L25" s="20">
        <f t="shared" si="6"/>
        <v>13368.960000000001</v>
      </c>
      <c r="M25" s="20">
        <f t="shared" si="6"/>
        <v>13911.04</v>
      </c>
      <c r="N25" s="20">
        <f t="shared" si="6"/>
        <v>14432.000000000002</v>
      </c>
      <c r="O25" s="20">
        <f t="shared" si="6"/>
        <v>15363.04</v>
      </c>
      <c r="P25" s="20">
        <f t="shared" si="6"/>
        <v>16293.2</v>
      </c>
      <c r="Q25" s="20">
        <f t="shared" si="6"/>
        <v>17204.88</v>
      </c>
      <c r="R25" s="20">
        <f t="shared" si="6"/>
        <v>18120.96</v>
      </c>
      <c r="S25" s="20">
        <f t="shared" si="6"/>
        <v>19021.2</v>
      </c>
      <c r="T25" s="20">
        <f t="shared" si="6"/>
        <v>19734</v>
      </c>
      <c r="U25" s="20">
        <f t="shared" si="6"/>
        <v>20433.600000000002</v>
      </c>
      <c r="V25" s="20">
        <f t="shared" si="6"/>
        <v>21120</v>
      </c>
      <c r="W25" s="20">
        <f t="shared" si="6"/>
        <v>21793.200000000001</v>
      </c>
      <c r="X25" s="20">
        <f t="shared" si="6"/>
        <v>22453.200000000001</v>
      </c>
      <c r="Y25" s="20">
        <f t="shared" si="6"/>
        <v>23100.000000000004</v>
      </c>
      <c r="Z25" s="20">
        <f t="shared" si="6"/>
        <v>23765.500000000004</v>
      </c>
      <c r="AA25" s="20">
        <f t="shared" si="6"/>
        <v>24420.000000000004</v>
      </c>
      <c r="AB25" s="20">
        <f t="shared" si="6"/>
        <v>25063.500000000004</v>
      </c>
      <c r="AC25" s="20">
        <f t="shared" si="6"/>
        <v>25696.000000000004</v>
      </c>
      <c r="AD25" s="20">
        <f t="shared" si="6"/>
        <v>26244.9</v>
      </c>
      <c r="AE25" s="20">
        <f t="shared" si="6"/>
        <v>26778.400000000001</v>
      </c>
      <c r="AF25" s="20">
        <f t="shared" si="6"/>
        <v>27296.500000000004</v>
      </c>
      <c r="AG25" s="20">
        <f t="shared" si="6"/>
        <v>27799.200000000001</v>
      </c>
      <c r="AH25" s="20">
        <f t="shared" si="6"/>
        <v>28286.500000000004</v>
      </c>
      <c r="AI25" s="20">
        <f t="shared" si="6"/>
        <v>28758.400000000001</v>
      </c>
      <c r="AJ25" s="20">
        <f t="shared" si="6"/>
        <v>29257.800000000003</v>
      </c>
      <c r="AK25" s="20">
        <f t="shared" si="6"/>
        <v>29744.000000000004</v>
      </c>
      <c r="AL25" s="20">
        <f t="shared" si="6"/>
        <v>30262.100000000002</v>
      </c>
      <c r="AM25" s="20">
        <f t="shared" si="6"/>
        <v>30769.200000000001</v>
      </c>
      <c r="AP25" s="40" t="s">
        <v>150</v>
      </c>
      <c r="AQ25" s="36"/>
    </row>
    <row r="26" spans="1:43" ht="17" customHeight="1">
      <c r="A26" s="2" t="s">
        <v>151</v>
      </c>
      <c r="B26" s="7" t="s">
        <v>145</v>
      </c>
      <c r="C26" s="20">
        <f t="shared" ref="C26:AM26" si="7">C20*0.5</f>
        <v>502.54500000000002</v>
      </c>
      <c r="D26" s="20">
        <f t="shared" si="7"/>
        <v>544.45899999999983</v>
      </c>
      <c r="E26" s="20">
        <f t="shared" si="7"/>
        <v>595.33333333333348</v>
      </c>
      <c r="F26" s="20">
        <f t="shared" si="7"/>
        <v>647.49999999999989</v>
      </c>
      <c r="G26" s="20">
        <f t="shared" si="7"/>
        <v>697.66666666666652</v>
      </c>
      <c r="H26" s="20">
        <f t="shared" si="7"/>
        <v>745.83333333333348</v>
      </c>
      <c r="I26" s="20">
        <f t="shared" si="7"/>
        <v>792</v>
      </c>
      <c r="J26" s="20">
        <f t="shared" si="7"/>
        <v>885.36</v>
      </c>
      <c r="K26" s="20">
        <f t="shared" si="7"/>
        <v>975.8399999999998</v>
      </c>
      <c r="L26" s="20">
        <f t="shared" si="7"/>
        <v>1063.44</v>
      </c>
      <c r="M26" s="20">
        <f t="shared" si="7"/>
        <v>1148.1599999999999</v>
      </c>
      <c r="N26" s="20">
        <f t="shared" si="7"/>
        <v>1230</v>
      </c>
      <c r="O26" s="20">
        <f t="shared" si="7"/>
        <v>1461.6</v>
      </c>
      <c r="P26" s="20">
        <f t="shared" si="7"/>
        <v>1690.5</v>
      </c>
      <c r="Q26" s="20">
        <f t="shared" si="7"/>
        <v>1915.2</v>
      </c>
      <c r="R26" s="20">
        <f t="shared" si="7"/>
        <v>2138.4</v>
      </c>
      <c r="S26" s="20">
        <f t="shared" si="7"/>
        <v>2358</v>
      </c>
      <c r="T26" s="20">
        <f t="shared" si="7"/>
        <v>2535</v>
      </c>
      <c r="U26" s="20">
        <f t="shared" si="7"/>
        <v>2709</v>
      </c>
      <c r="V26" s="20">
        <f t="shared" si="7"/>
        <v>2880</v>
      </c>
      <c r="W26" s="20">
        <f t="shared" si="7"/>
        <v>3048</v>
      </c>
      <c r="X26" s="20">
        <f t="shared" si="7"/>
        <v>3213</v>
      </c>
      <c r="Y26" s="20">
        <f t="shared" si="7"/>
        <v>3375</v>
      </c>
      <c r="Z26" s="20">
        <f t="shared" si="7"/>
        <v>3538.75</v>
      </c>
      <c r="AA26" s="20">
        <f t="shared" si="7"/>
        <v>3700</v>
      </c>
      <c r="AB26" s="20">
        <f t="shared" si="7"/>
        <v>3858.75</v>
      </c>
      <c r="AC26" s="20">
        <f t="shared" si="7"/>
        <v>4015</v>
      </c>
      <c r="AD26" s="20">
        <f t="shared" si="7"/>
        <v>4121.1000000000004</v>
      </c>
      <c r="AE26" s="20">
        <f t="shared" si="7"/>
        <v>4224.3999999999996</v>
      </c>
      <c r="AF26" s="20">
        <f t="shared" si="7"/>
        <v>4324.8999999999996</v>
      </c>
      <c r="AG26" s="20">
        <f t="shared" si="7"/>
        <v>4422.6000000000004</v>
      </c>
      <c r="AH26" s="20">
        <f t="shared" si="7"/>
        <v>4517.5</v>
      </c>
      <c r="AI26" s="20">
        <f t="shared" si="7"/>
        <v>4609.6000000000004</v>
      </c>
      <c r="AJ26" s="20">
        <f t="shared" si="7"/>
        <v>4705.8</v>
      </c>
      <c r="AK26" s="20">
        <f t="shared" si="7"/>
        <v>4799.6000000000004</v>
      </c>
      <c r="AL26" s="20">
        <f t="shared" si="7"/>
        <v>4898.3</v>
      </c>
      <c r="AM26" s="20">
        <f t="shared" si="7"/>
        <v>4995</v>
      </c>
      <c r="AP26" s="3" t="s">
        <v>77</v>
      </c>
      <c r="AQ26" s="30" t="s">
        <v>78</v>
      </c>
    </row>
    <row r="27" spans="1:43" ht="17" customHeight="1">
      <c r="A27" s="2" t="s">
        <v>152</v>
      </c>
      <c r="B27" s="7" t="s">
        <v>145</v>
      </c>
      <c r="C27" s="20">
        <f t="shared" ref="C27:AM27" si="8">(C20-C26/1.1)*1.053*1.65</f>
        <v>952.52379299999984</v>
      </c>
      <c r="D27" s="20">
        <f t="shared" si="8"/>
        <v>1031.9675885999995</v>
      </c>
      <c r="E27" s="20">
        <f t="shared" si="8"/>
        <v>1128.3948</v>
      </c>
      <c r="F27" s="20">
        <f t="shared" si="8"/>
        <v>1227.2714999999996</v>
      </c>
      <c r="G27" s="20">
        <f t="shared" si="8"/>
        <v>1322.3573999999996</v>
      </c>
      <c r="H27" s="20">
        <f t="shared" si="8"/>
        <v>1413.6525000000004</v>
      </c>
      <c r="I27" s="20">
        <f t="shared" si="8"/>
        <v>1501.1568</v>
      </c>
      <c r="J27" s="20">
        <f t="shared" si="8"/>
        <v>1678.1113439999999</v>
      </c>
      <c r="K27" s="20">
        <f t="shared" si="8"/>
        <v>1849.6071359999996</v>
      </c>
      <c r="L27" s="20">
        <f t="shared" si="8"/>
        <v>2015.644176</v>
      </c>
      <c r="M27" s="20">
        <f t="shared" si="8"/>
        <v>2176.2224639999999</v>
      </c>
      <c r="N27" s="20">
        <f t="shared" si="8"/>
        <v>2331.3420000000001</v>
      </c>
      <c r="O27" s="20">
        <f t="shared" si="8"/>
        <v>2770.3166399999996</v>
      </c>
      <c r="P27" s="20">
        <f t="shared" si="8"/>
        <v>3204.1736999999998</v>
      </c>
      <c r="Q27" s="20">
        <f t="shared" si="8"/>
        <v>3630.0700800000004</v>
      </c>
      <c r="R27" s="20">
        <f t="shared" si="8"/>
        <v>4053.1233599999996</v>
      </c>
      <c r="S27" s="20">
        <f t="shared" si="8"/>
        <v>4469.3531999999996</v>
      </c>
      <c r="T27" s="20">
        <f t="shared" si="8"/>
        <v>4804.8389999999999</v>
      </c>
      <c r="U27" s="20">
        <f t="shared" si="8"/>
        <v>5134.6385999999993</v>
      </c>
      <c r="V27" s="20">
        <f t="shared" si="8"/>
        <v>5458.7520000000004</v>
      </c>
      <c r="W27" s="20">
        <f t="shared" si="8"/>
        <v>5777.1791999999996</v>
      </c>
      <c r="X27" s="20">
        <f t="shared" si="8"/>
        <v>6089.9201999999996</v>
      </c>
      <c r="Y27" s="20">
        <f t="shared" si="8"/>
        <v>6396.9749999999995</v>
      </c>
      <c r="Z27" s="20">
        <f t="shared" si="8"/>
        <v>6707.3467499999997</v>
      </c>
      <c r="AA27" s="20">
        <f t="shared" si="8"/>
        <v>7012.98</v>
      </c>
      <c r="AB27" s="20">
        <f t="shared" si="8"/>
        <v>7313.874749999999</v>
      </c>
      <c r="AC27" s="20">
        <f t="shared" si="8"/>
        <v>7610.030999999999</v>
      </c>
      <c r="AD27" s="20">
        <f t="shared" si="8"/>
        <v>7811.1329399999986</v>
      </c>
      <c r="AE27" s="20">
        <f t="shared" si="8"/>
        <v>8006.9277599999987</v>
      </c>
      <c r="AF27" s="20">
        <f t="shared" si="8"/>
        <v>8197.4154600000002</v>
      </c>
      <c r="AG27" s="20">
        <f t="shared" si="8"/>
        <v>8382.5960400000022</v>
      </c>
      <c r="AH27" s="20">
        <f t="shared" si="8"/>
        <v>8562.4694999999992</v>
      </c>
      <c r="AI27" s="20">
        <f t="shared" si="8"/>
        <v>8737.0358400000005</v>
      </c>
      <c r="AJ27" s="20">
        <f t="shared" si="8"/>
        <v>8919.3733199999988</v>
      </c>
      <c r="AK27" s="20">
        <f t="shared" si="8"/>
        <v>9097.1618400000007</v>
      </c>
      <c r="AL27" s="20">
        <f t="shared" si="8"/>
        <v>9284.2378200000003</v>
      </c>
      <c r="AM27" s="20">
        <f t="shared" si="8"/>
        <v>9467.5229999999992</v>
      </c>
    </row>
    <row r="28" spans="1:43" ht="17" customHeight="1">
      <c r="A28" s="4" t="s">
        <v>153</v>
      </c>
      <c r="B28" s="7" t="s">
        <v>145</v>
      </c>
      <c r="C28" s="22">
        <f t="shared" ref="C28:AM28" si="9">C23+C25+C26</f>
        <v>38394.437999999995</v>
      </c>
      <c r="D28" s="22">
        <f t="shared" si="9"/>
        <v>36984.779600000009</v>
      </c>
      <c r="E28" s="22">
        <f t="shared" si="9"/>
        <v>36459.466666666667</v>
      </c>
      <c r="F28" s="22">
        <f t="shared" si="9"/>
        <v>36149</v>
      </c>
      <c r="G28" s="22">
        <f t="shared" si="9"/>
        <v>35829.73333333333</v>
      </c>
      <c r="H28" s="22">
        <f t="shared" si="9"/>
        <v>35501.666666666672</v>
      </c>
      <c r="I28" s="22">
        <f t="shared" si="9"/>
        <v>35164.800000000003</v>
      </c>
      <c r="J28" s="22">
        <f t="shared" si="9"/>
        <v>35282.464</v>
      </c>
      <c r="K28" s="22">
        <f t="shared" si="9"/>
        <v>35383.615999999995</v>
      </c>
      <c r="L28" s="22">
        <f t="shared" si="9"/>
        <v>35468.256000000001</v>
      </c>
      <c r="M28" s="22">
        <f t="shared" si="9"/>
        <v>35536.384000000005</v>
      </c>
      <c r="N28" s="22">
        <f t="shared" si="9"/>
        <v>35588</v>
      </c>
      <c r="O28" s="22">
        <f t="shared" si="9"/>
        <v>36117.760000000002</v>
      </c>
      <c r="P28" s="22">
        <f t="shared" si="9"/>
        <v>36675.800000000003</v>
      </c>
      <c r="Q28" s="22">
        <f t="shared" si="9"/>
        <v>37218.720000000001</v>
      </c>
      <c r="R28" s="22">
        <f t="shared" si="9"/>
        <v>37794.239999999998</v>
      </c>
      <c r="S28" s="22">
        <f t="shared" si="9"/>
        <v>38356.800000000003</v>
      </c>
      <c r="T28" s="22">
        <f t="shared" si="9"/>
        <v>38766</v>
      </c>
      <c r="U28" s="22">
        <f t="shared" si="9"/>
        <v>39164.400000000001</v>
      </c>
      <c r="V28" s="22">
        <f t="shared" si="9"/>
        <v>39552</v>
      </c>
      <c r="W28" s="22">
        <f t="shared" si="9"/>
        <v>39928.800000000003</v>
      </c>
      <c r="X28" s="22">
        <f t="shared" si="9"/>
        <v>40294.800000000003</v>
      </c>
      <c r="Y28" s="22">
        <f t="shared" si="9"/>
        <v>40650</v>
      </c>
      <c r="Z28" s="22">
        <f t="shared" si="9"/>
        <v>41049.5</v>
      </c>
      <c r="AA28" s="22">
        <f t="shared" si="9"/>
        <v>41440</v>
      </c>
      <c r="AB28" s="22">
        <f t="shared" si="9"/>
        <v>41821.5</v>
      </c>
      <c r="AC28" s="22">
        <f t="shared" si="9"/>
        <v>42194</v>
      </c>
      <c r="AD28" s="22">
        <f t="shared" si="9"/>
        <v>42425.64</v>
      </c>
      <c r="AE28" s="22">
        <f t="shared" si="9"/>
        <v>42644.959999999999</v>
      </c>
      <c r="AF28" s="22">
        <f t="shared" si="9"/>
        <v>42851.960000000006</v>
      </c>
      <c r="AG28" s="22">
        <f t="shared" si="9"/>
        <v>43046.64</v>
      </c>
      <c r="AH28" s="22">
        <f t="shared" si="9"/>
        <v>43229</v>
      </c>
      <c r="AI28" s="22">
        <f t="shared" si="9"/>
        <v>43399.040000000001</v>
      </c>
      <c r="AJ28" s="22">
        <f t="shared" si="9"/>
        <v>43620.72</v>
      </c>
      <c r="AK28" s="22">
        <f t="shared" si="9"/>
        <v>43831.840000000004</v>
      </c>
      <c r="AL28" s="22">
        <f t="shared" si="9"/>
        <v>44098.12000000001</v>
      </c>
      <c r="AM28" s="22">
        <f t="shared" si="9"/>
        <v>44355.600000000006</v>
      </c>
      <c r="AP28" s="3" t="s">
        <v>79</v>
      </c>
      <c r="AQ28" s="30" t="s">
        <v>80</v>
      </c>
    </row>
    <row r="29" spans="1:43" ht="17" customHeight="1">
      <c r="A29" s="4" t="s">
        <v>154</v>
      </c>
      <c r="B29" s="7" t="s">
        <v>145</v>
      </c>
      <c r="C29" s="22">
        <f t="shared" ref="C29:AM29" si="10">C24+C27</f>
        <v>113985.34722899999</v>
      </c>
      <c r="D29" s="22">
        <f t="shared" si="10"/>
        <v>108518.47407180001</v>
      </c>
      <c r="E29" s="22">
        <f t="shared" si="10"/>
        <v>105732.57239999998</v>
      </c>
      <c r="F29" s="22">
        <f t="shared" si="10"/>
        <v>103616.77949999999</v>
      </c>
      <c r="G29" s="22">
        <f t="shared" si="10"/>
        <v>101514.88620000001</v>
      </c>
      <c r="H29" s="22">
        <f t="shared" si="10"/>
        <v>99426.892499999987</v>
      </c>
      <c r="I29" s="22">
        <f t="shared" si="10"/>
        <v>97352.798399999985</v>
      </c>
      <c r="J29" s="22">
        <f t="shared" si="10"/>
        <v>95082.008111999996</v>
      </c>
      <c r="K29" s="22">
        <f t="shared" si="10"/>
        <v>92837.298527999999</v>
      </c>
      <c r="L29" s="22">
        <f t="shared" si="10"/>
        <v>90618.66964800001</v>
      </c>
      <c r="M29" s="22">
        <f t="shared" si="10"/>
        <v>88426.121472000013</v>
      </c>
      <c r="N29" s="22">
        <f t="shared" si="10"/>
        <v>86259.653999999995</v>
      </c>
      <c r="O29" s="22">
        <f t="shared" si="10"/>
        <v>84032.938080000007</v>
      </c>
      <c r="P29" s="22">
        <f t="shared" si="10"/>
        <v>81935.298899999994</v>
      </c>
      <c r="Q29" s="22">
        <f t="shared" si="10"/>
        <v>79861.541760000007</v>
      </c>
      <c r="R29" s="22">
        <f t="shared" si="10"/>
        <v>77910.037919999988</v>
      </c>
      <c r="S29" s="22">
        <f t="shared" si="10"/>
        <v>75979.004399999991</v>
      </c>
      <c r="T29" s="22">
        <f t="shared" si="10"/>
        <v>74290.203000000009</v>
      </c>
      <c r="U29" s="22">
        <f t="shared" si="10"/>
        <v>72618.460199999987</v>
      </c>
      <c r="V29" s="22">
        <f t="shared" si="10"/>
        <v>70963.775999999983</v>
      </c>
      <c r="W29" s="22">
        <f t="shared" si="10"/>
        <v>69326.150399999999</v>
      </c>
      <c r="X29" s="22">
        <f t="shared" si="10"/>
        <v>67705.583399999989</v>
      </c>
      <c r="Y29" s="22">
        <f t="shared" si="10"/>
        <v>66102.075000000012</v>
      </c>
      <c r="Z29" s="22">
        <f t="shared" si="10"/>
        <v>64602.339749999992</v>
      </c>
      <c r="AA29" s="22">
        <f t="shared" si="10"/>
        <v>63116.819999999992</v>
      </c>
      <c r="AB29" s="22">
        <f t="shared" si="10"/>
        <v>61645.515749999991</v>
      </c>
      <c r="AC29" s="22">
        <f t="shared" si="10"/>
        <v>60188.426999999996</v>
      </c>
      <c r="AD29" s="22">
        <f t="shared" si="10"/>
        <v>58606.336619999987</v>
      </c>
      <c r="AE29" s="22">
        <f t="shared" si="10"/>
        <v>57043.705679999999</v>
      </c>
      <c r="AF29" s="22">
        <f t="shared" si="10"/>
        <v>55500.534180000002</v>
      </c>
      <c r="AG29" s="22">
        <f t="shared" si="10"/>
        <v>53976.822120000012</v>
      </c>
      <c r="AH29" s="22">
        <f t="shared" si="10"/>
        <v>52472.569499999991</v>
      </c>
      <c r="AI29" s="22">
        <f t="shared" si="10"/>
        <v>50987.77631999999</v>
      </c>
      <c r="AJ29" s="22">
        <f t="shared" si="10"/>
        <v>49595.162759999985</v>
      </c>
      <c r="AK29" s="22">
        <f t="shared" si="10"/>
        <v>48219.228719999999</v>
      </c>
      <c r="AL29" s="22">
        <f t="shared" si="10"/>
        <v>46929.914460000007</v>
      </c>
      <c r="AM29" s="22">
        <f t="shared" si="10"/>
        <v>45654.499800000005</v>
      </c>
      <c r="AP29" s="3" t="s">
        <v>81</v>
      </c>
      <c r="AQ29" s="30" t="s">
        <v>82</v>
      </c>
    </row>
    <row r="30" spans="1:43" ht="17.5" customHeight="1">
      <c r="A30" s="34" t="s">
        <v>155</v>
      </c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6"/>
      <c r="AP30" s="3" t="s">
        <v>83</v>
      </c>
      <c r="AQ30" s="30" t="s">
        <v>84</v>
      </c>
    </row>
    <row r="31" spans="1:43" ht="17" customHeight="1">
      <c r="A31" s="2" t="s">
        <v>156</v>
      </c>
      <c r="B31" s="7" t="s">
        <v>157</v>
      </c>
      <c r="C31" s="20">
        <f t="shared" ref="C31:AM31" si="11">C18*450+C19*550+C20*500</f>
        <v>46284394.5</v>
      </c>
      <c r="D31" s="20">
        <f t="shared" si="11"/>
        <v>44283732.900000006</v>
      </c>
      <c r="E31" s="20">
        <f t="shared" si="11"/>
        <v>43362199.999999993</v>
      </c>
      <c r="F31" s="20">
        <f t="shared" si="11"/>
        <v>42707250</v>
      </c>
      <c r="G31" s="20">
        <f t="shared" si="11"/>
        <v>42051100.000000007</v>
      </c>
      <c r="H31" s="20">
        <f t="shared" si="11"/>
        <v>41393749.999999993</v>
      </c>
      <c r="I31" s="20">
        <f t="shared" si="11"/>
        <v>40735200</v>
      </c>
      <c r="J31" s="20">
        <f t="shared" si="11"/>
        <v>40259576</v>
      </c>
      <c r="K31" s="20">
        <f t="shared" si="11"/>
        <v>39781744</v>
      </c>
      <c r="L31" s="20">
        <f t="shared" si="11"/>
        <v>39301704</v>
      </c>
      <c r="M31" s="20">
        <f t="shared" si="11"/>
        <v>38819456</v>
      </c>
      <c r="N31" s="20">
        <f t="shared" si="11"/>
        <v>38335000</v>
      </c>
      <c r="O31" s="20">
        <f t="shared" si="11"/>
        <v>38082800</v>
      </c>
      <c r="P31" s="20">
        <f t="shared" si="11"/>
        <v>37875250</v>
      </c>
      <c r="Q31" s="20">
        <f t="shared" si="11"/>
        <v>37665600</v>
      </c>
      <c r="R31" s="20">
        <f t="shared" si="11"/>
        <v>37501200</v>
      </c>
      <c r="S31" s="20">
        <f t="shared" si="11"/>
        <v>37335000</v>
      </c>
      <c r="T31" s="20">
        <f t="shared" si="11"/>
        <v>37147500</v>
      </c>
      <c r="U31" s="20">
        <f t="shared" si="11"/>
        <v>36958500</v>
      </c>
      <c r="V31" s="20">
        <f t="shared" si="11"/>
        <v>36768000</v>
      </c>
      <c r="W31" s="20">
        <f t="shared" si="11"/>
        <v>36576000</v>
      </c>
      <c r="X31" s="20">
        <f t="shared" si="11"/>
        <v>36382500</v>
      </c>
      <c r="Y31" s="20">
        <f t="shared" si="11"/>
        <v>36187500</v>
      </c>
      <c r="Z31" s="20">
        <f t="shared" si="11"/>
        <v>36039375</v>
      </c>
      <c r="AA31" s="20">
        <f t="shared" si="11"/>
        <v>35890000</v>
      </c>
      <c r="AB31" s="20">
        <f t="shared" si="11"/>
        <v>35739375</v>
      </c>
      <c r="AC31" s="20">
        <f t="shared" si="11"/>
        <v>35587500</v>
      </c>
      <c r="AD31" s="20">
        <f t="shared" si="11"/>
        <v>35333010</v>
      </c>
      <c r="AE31" s="20">
        <f t="shared" si="11"/>
        <v>35076840</v>
      </c>
      <c r="AF31" s="20">
        <f t="shared" si="11"/>
        <v>34818990</v>
      </c>
      <c r="AG31" s="20">
        <f t="shared" si="11"/>
        <v>34559460</v>
      </c>
      <c r="AH31" s="20">
        <f t="shared" si="11"/>
        <v>34298250</v>
      </c>
      <c r="AI31" s="20">
        <f t="shared" si="11"/>
        <v>34035360</v>
      </c>
      <c r="AJ31" s="20">
        <f t="shared" si="11"/>
        <v>33820380</v>
      </c>
      <c r="AK31" s="20">
        <f t="shared" si="11"/>
        <v>33603960</v>
      </c>
      <c r="AL31" s="20">
        <f t="shared" si="11"/>
        <v>33435930</v>
      </c>
      <c r="AM31" s="20">
        <f t="shared" si="11"/>
        <v>33266700</v>
      </c>
    </row>
    <row r="32" spans="1:43" ht="17" customHeight="1">
      <c r="A32" s="2" t="s">
        <v>158</v>
      </c>
      <c r="B32" s="7" t="s">
        <v>157</v>
      </c>
      <c r="C32" s="23">
        <v>0</v>
      </c>
      <c r="D32" s="23">
        <v>2.5000000000000001E-2</v>
      </c>
      <c r="E32" s="23">
        <v>0.05</v>
      </c>
      <c r="F32" s="23">
        <v>7.4999999999999997E-2</v>
      </c>
      <c r="G32" s="23">
        <v>9.9999999999999992E-2</v>
      </c>
      <c r="H32" s="23">
        <v>0.125</v>
      </c>
      <c r="I32" s="23">
        <v>0.15</v>
      </c>
      <c r="J32" s="23">
        <v>0.17599999999999999</v>
      </c>
      <c r="K32" s="23">
        <v>0.20200000000000001</v>
      </c>
      <c r="L32" s="23">
        <v>0.22800000000000001</v>
      </c>
      <c r="M32" s="23">
        <v>0.254</v>
      </c>
      <c r="N32" s="23">
        <v>0.28000000000000003</v>
      </c>
      <c r="O32" s="23">
        <v>0.314</v>
      </c>
      <c r="P32" s="23">
        <v>0.34799999999999998</v>
      </c>
      <c r="Q32" s="23">
        <v>0.38200000000000001</v>
      </c>
      <c r="R32" s="23">
        <v>0.41599999999999998</v>
      </c>
      <c r="S32" s="23">
        <v>0.45</v>
      </c>
      <c r="T32" s="23">
        <v>0.46800000000000003</v>
      </c>
      <c r="U32" s="23">
        <v>0.48599999999999999</v>
      </c>
      <c r="V32" s="23">
        <v>0.504</v>
      </c>
      <c r="W32" s="23">
        <v>0.52200000000000002</v>
      </c>
      <c r="X32" s="23">
        <v>0.54</v>
      </c>
      <c r="Y32" s="23">
        <v>0.55800000000000005</v>
      </c>
      <c r="Z32" s="23">
        <v>0.57600000000000007</v>
      </c>
      <c r="AA32" s="23">
        <v>0.59399999999999997</v>
      </c>
      <c r="AB32" s="23">
        <v>0.61199999999999999</v>
      </c>
      <c r="AC32" s="23">
        <v>0.63</v>
      </c>
      <c r="AD32" s="23">
        <v>0.64900000000000002</v>
      </c>
      <c r="AE32" s="23">
        <v>0.66800000000000004</v>
      </c>
      <c r="AF32" s="23">
        <v>0.68699999999999994</v>
      </c>
      <c r="AG32" s="23">
        <v>0.70599999999999996</v>
      </c>
      <c r="AH32" s="23">
        <v>0.72499999999999998</v>
      </c>
      <c r="AI32" s="23">
        <v>0.74399999999999999</v>
      </c>
      <c r="AJ32" s="23">
        <v>0.7629999999999999</v>
      </c>
      <c r="AK32" s="23">
        <v>0.78200000000000003</v>
      </c>
      <c r="AL32" s="23">
        <v>0.80099999999999993</v>
      </c>
      <c r="AM32" s="23">
        <v>0.82</v>
      </c>
    </row>
    <row r="33" spans="1:39" ht="17" customHeight="1">
      <c r="A33" s="2" t="s">
        <v>159</v>
      </c>
      <c r="B33" s="7" t="s">
        <v>157</v>
      </c>
      <c r="C33" s="20">
        <f t="shared" ref="C33:AM33" si="12">C31*C32</f>
        <v>0</v>
      </c>
      <c r="D33" s="20">
        <f t="shared" si="12"/>
        <v>1107093.3225000002</v>
      </c>
      <c r="E33" s="20">
        <f t="shared" si="12"/>
        <v>2168109.9999999995</v>
      </c>
      <c r="F33" s="20">
        <f t="shared" si="12"/>
        <v>3203043.75</v>
      </c>
      <c r="G33" s="20">
        <f t="shared" si="12"/>
        <v>4205110</v>
      </c>
      <c r="H33" s="20">
        <f t="shared" si="12"/>
        <v>5174218.7499999991</v>
      </c>
      <c r="I33" s="20">
        <f t="shared" si="12"/>
        <v>6110280</v>
      </c>
      <c r="J33" s="20">
        <f t="shared" si="12"/>
        <v>7085685.3759999992</v>
      </c>
      <c r="K33" s="20">
        <f t="shared" si="12"/>
        <v>8035912.2880000006</v>
      </c>
      <c r="L33" s="20">
        <f t="shared" si="12"/>
        <v>8960788.5120000001</v>
      </c>
      <c r="M33" s="20">
        <f t="shared" si="12"/>
        <v>9860141.824000001</v>
      </c>
      <c r="N33" s="20">
        <f t="shared" si="12"/>
        <v>10733800.000000002</v>
      </c>
      <c r="O33" s="20">
        <f t="shared" si="12"/>
        <v>11957999.199999999</v>
      </c>
      <c r="P33" s="20">
        <f t="shared" si="12"/>
        <v>13180587</v>
      </c>
      <c r="Q33" s="20">
        <f t="shared" si="12"/>
        <v>14388259.200000001</v>
      </c>
      <c r="R33" s="20">
        <f t="shared" si="12"/>
        <v>15600499.199999999</v>
      </c>
      <c r="S33" s="20">
        <f t="shared" si="12"/>
        <v>16800750</v>
      </c>
      <c r="T33" s="20">
        <f t="shared" si="12"/>
        <v>17385030</v>
      </c>
      <c r="U33" s="20">
        <f t="shared" si="12"/>
        <v>17961831</v>
      </c>
      <c r="V33" s="20">
        <f t="shared" si="12"/>
        <v>18531072</v>
      </c>
      <c r="W33" s="20">
        <f t="shared" si="12"/>
        <v>19092672</v>
      </c>
      <c r="X33" s="20">
        <f t="shared" si="12"/>
        <v>19646550</v>
      </c>
      <c r="Y33" s="20">
        <f t="shared" si="12"/>
        <v>20192625.000000004</v>
      </c>
      <c r="Z33" s="20">
        <f t="shared" si="12"/>
        <v>20758680.000000004</v>
      </c>
      <c r="AA33" s="20">
        <f t="shared" si="12"/>
        <v>21318660</v>
      </c>
      <c r="AB33" s="20">
        <f t="shared" si="12"/>
        <v>21872497.5</v>
      </c>
      <c r="AC33" s="20">
        <f t="shared" si="12"/>
        <v>22420125</v>
      </c>
      <c r="AD33" s="20">
        <f t="shared" si="12"/>
        <v>22931123.490000002</v>
      </c>
      <c r="AE33" s="20">
        <f t="shared" si="12"/>
        <v>23431329.120000001</v>
      </c>
      <c r="AF33" s="20">
        <f t="shared" si="12"/>
        <v>23920646.129999999</v>
      </c>
      <c r="AG33" s="20">
        <f t="shared" si="12"/>
        <v>24398978.759999998</v>
      </c>
      <c r="AH33" s="20">
        <f t="shared" si="12"/>
        <v>24866231.25</v>
      </c>
      <c r="AI33" s="20">
        <f t="shared" si="12"/>
        <v>25322307.84</v>
      </c>
      <c r="AJ33" s="20">
        <f t="shared" si="12"/>
        <v>25804949.939999998</v>
      </c>
      <c r="AK33" s="20">
        <f t="shared" si="12"/>
        <v>26278296.720000003</v>
      </c>
      <c r="AL33" s="20">
        <f t="shared" si="12"/>
        <v>26782179.929999996</v>
      </c>
      <c r="AM33" s="20">
        <f t="shared" si="12"/>
        <v>27278694</v>
      </c>
    </row>
    <row r="34" spans="1:39" ht="17.5" customHeight="1">
      <c r="A34" s="34" t="s">
        <v>160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6"/>
    </row>
    <row r="35" spans="1:39" ht="46" customHeight="1">
      <c r="A35" s="14" t="s">
        <v>161</v>
      </c>
      <c r="B35" s="7" t="s">
        <v>162</v>
      </c>
      <c r="C35" s="24" t="s">
        <v>163</v>
      </c>
      <c r="D35" s="24" t="s">
        <v>164</v>
      </c>
      <c r="E35" s="24" t="s">
        <v>165</v>
      </c>
      <c r="F35" s="24" t="s">
        <v>166</v>
      </c>
      <c r="G35" s="24" t="s">
        <v>167</v>
      </c>
      <c r="H35" s="24" t="s">
        <v>168</v>
      </c>
      <c r="I35" s="24" t="s">
        <v>166</v>
      </c>
      <c r="J35" s="24" t="s">
        <v>169</v>
      </c>
      <c r="K35" s="24" t="s">
        <v>170</v>
      </c>
      <c r="L35" s="24" t="s">
        <v>171</v>
      </c>
      <c r="M35" s="24" t="s">
        <v>172</v>
      </c>
      <c r="N35" s="24" t="s">
        <v>173</v>
      </c>
      <c r="O35" s="24" t="s">
        <v>174</v>
      </c>
      <c r="P35" s="24" t="s">
        <v>175</v>
      </c>
      <c r="Q35" s="24" t="s">
        <v>166</v>
      </c>
      <c r="R35" s="24" t="s">
        <v>166</v>
      </c>
      <c r="S35" s="24" t="s">
        <v>166</v>
      </c>
      <c r="T35" s="24" t="s">
        <v>166</v>
      </c>
      <c r="U35" s="24" t="s">
        <v>166</v>
      </c>
      <c r="V35" s="24" t="s">
        <v>176</v>
      </c>
      <c r="W35" s="24" t="s">
        <v>166</v>
      </c>
      <c r="X35" s="24" t="s">
        <v>166</v>
      </c>
      <c r="Y35" s="24" t="s">
        <v>166</v>
      </c>
      <c r="Z35" s="24" t="s">
        <v>177</v>
      </c>
      <c r="AA35" s="24" t="s">
        <v>166</v>
      </c>
      <c r="AB35" s="24" t="s">
        <v>166</v>
      </c>
      <c r="AC35" s="24" t="s">
        <v>166</v>
      </c>
      <c r="AD35" s="24" t="s">
        <v>166</v>
      </c>
      <c r="AE35" s="24" t="s">
        <v>166</v>
      </c>
      <c r="AF35" s="24" t="s">
        <v>166</v>
      </c>
      <c r="AG35" s="24" t="s">
        <v>166</v>
      </c>
      <c r="AH35" s="24" t="s">
        <v>166</v>
      </c>
      <c r="AI35" s="24" t="s">
        <v>166</v>
      </c>
      <c r="AJ35" s="24" t="s">
        <v>166</v>
      </c>
      <c r="AK35" s="24" t="s">
        <v>166</v>
      </c>
      <c r="AL35" s="24" t="s">
        <v>166</v>
      </c>
      <c r="AM35" s="24" t="s">
        <v>166</v>
      </c>
    </row>
    <row r="36" spans="1:39" ht="17" customHeight="1">
      <c r="A36" s="2" t="s">
        <v>178</v>
      </c>
      <c r="B36" s="7" t="s">
        <v>179</v>
      </c>
      <c r="C36" s="25">
        <v>0</v>
      </c>
      <c r="D36" s="25">
        <v>6.6666666666666664E-4</v>
      </c>
      <c r="E36" s="25">
        <v>1.3333333333333331E-3</v>
      </c>
      <c r="F36" s="25">
        <v>2E-3</v>
      </c>
      <c r="G36" s="25">
        <v>2.666666666666667E-3</v>
      </c>
      <c r="H36" s="25">
        <v>3.333333333333334E-3</v>
      </c>
      <c r="I36" s="25">
        <v>4.0000000000000001E-3</v>
      </c>
      <c r="J36" s="25">
        <v>6.2000000000000006E-3</v>
      </c>
      <c r="K36" s="25">
        <v>8.4000000000000012E-3</v>
      </c>
      <c r="L36" s="25">
        <v>1.06E-2</v>
      </c>
      <c r="M36" s="25">
        <v>1.2800000000000001E-2</v>
      </c>
      <c r="N36" s="25">
        <v>1.4999999999999999E-2</v>
      </c>
      <c r="O36" s="25">
        <v>1.7000000000000001E-2</v>
      </c>
      <c r="P36" s="25">
        <v>1.9E-2</v>
      </c>
      <c r="Q36" s="25">
        <v>2.1000000000000001E-2</v>
      </c>
      <c r="R36" s="25">
        <v>2.3E-2</v>
      </c>
      <c r="S36" s="25">
        <v>2.5000000000000001E-2</v>
      </c>
      <c r="T36" s="25">
        <v>2.5499999999999998E-2</v>
      </c>
      <c r="U36" s="25">
        <v>2.5999999999999999E-2</v>
      </c>
      <c r="V36" s="25">
        <v>2.6499999999999999E-2</v>
      </c>
      <c r="W36" s="25">
        <v>2.7E-2</v>
      </c>
      <c r="X36" s="25">
        <v>2.75E-2</v>
      </c>
      <c r="Y36" s="25">
        <v>2.8000000000000001E-2</v>
      </c>
      <c r="Z36" s="25">
        <v>2.8500000000000001E-2</v>
      </c>
      <c r="AA36" s="25">
        <v>2.9000000000000001E-2</v>
      </c>
      <c r="AB36" s="25">
        <v>2.9499999999999998E-2</v>
      </c>
      <c r="AC36" s="25">
        <v>0.03</v>
      </c>
      <c r="AD36" s="25">
        <v>2.8799999999999999E-2</v>
      </c>
      <c r="AE36" s="25">
        <v>2.76E-2</v>
      </c>
      <c r="AF36" s="25">
        <v>2.64E-2</v>
      </c>
      <c r="AG36" s="25">
        <v>2.52E-2</v>
      </c>
      <c r="AH36" s="25">
        <v>2.4E-2</v>
      </c>
      <c r="AI36" s="25">
        <v>2.2800000000000001E-2</v>
      </c>
      <c r="AJ36" s="25">
        <v>2.1600000000000001E-2</v>
      </c>
      <c r="AK36" s="25">
        <v>2.0400000000000001E-2</v>
      </c>
      <c r="AL36" s="25">
        <v>1.9199999999999998E-2</v>
      </c>
      <c r="AM36" s="25">
        <v>1.7999999999999999E-2</v>
      </c>
    </row>
    <row r="37" spans="1:39" ht="17" customHeight="1">
      <c r="A37" s="4" t="s">
        <v>180</v>
      </c>
      <c r="B37" s="7" t="e">
        <f>上年累计+当年新增</f>
        <v>#NAME?</v>
      </c>
      <c r="C37" s="26">
        <f>C36</f>
        <v>0</v>
      </c>
      <c r="D37" s="26">
        <f t="shared" ref="D37:AM37" si="13">C37+D36</f>
        <v>6.6666666666666664E-4</v>
      </c>
      <c r="E37" s="26">
        <f t="shared" si="13"/>
        <v>1.9999999999999996E-3</v>
      </c>
      <c r="F37" s="26">
        <f t="shared" si="13"/>
        <v>4.0000000000000001E-3</v>
      </c>
      <c r="G37" s="26">
        <f t="shared" si="13"/>
        <v>6.6666666666666671E-3</v>
      </c>
      <c r="H37" s="26">
        <f t="shared" si="13"/>
        <v>1.0000000000000002E-2</v>
      </c>
      <c r="I37" s="26">
        <f t="shared" si="13"/>
        <v>1.4000000000000002E-2</v>
      </c>
      <c r="J37" s="26">
        <f t="shared" si="13"/>
        <v>2.0200000000000003E-2</v>
      </c>
      <c r="K37" s="26">
        <f t="shared" si="13"/>
        <v>2.8600000000000004E-2</v>
      </c>
      <c r="L37" s="26">
        <f t="shared" si="13"/>
        <v>3.9200000000000006E-2</v>
      </c>
      <c r="M37" s="26">
        <f t="shared" si="13"/>
        <v>5.2000000000000005E-2</v>
      </c>
      <c r="N37" s="26">
        <f t="shared" si="13"/>
        <v>6.7000000000000004E-2</v>
      </c>
      <c r="O37" s="26">
        <f t="shared" si="13"/>
        <v>8.4000000000000005E-2</v>
      </c>
      <c r="P37" s="26">
        <f t="shared" si="13"/>
        <v>0.10300000000000001</v>
      </c>
      <c r="Q37" s="26">
        <f t="shared" si="13"/>
        <v>0.12400000000000001</v>
      </c>
      <c r="R37" s="26">
        <f t="shared" si="13"/>
        <v>0.14700000000000002</v>
      </c>
      <c r="S37" s="26">
        <f t="shared" si="13"/>
        <v>0.17200000000000001</v>
      </c>
      <c r="T37" s="26">
        <f t="shared" si="13"/>
        <v>0.19750000000000001</v>
      </c>
      <c r="U37" s="26">
        <f t="shared" si="13"/>
        <v>0.2235</v>
      </c>
      <c r="V37" s="26">
        <f t="shared" si="13"/>
        <v>0.25</v>
      </c>
      <c r="W37" s="26">
        <f t="shared" si="13"/>
        <v>0.27700000000000002</v>
      </c>
      <c r="X37" s="26">
        <f t="shared" si="13"/>
        <v>0.30450000000000005</v>
      </c>
      <c r="Y37" s="26">
        <f t="shared" si="13"/>
        <v>0.33250000000000007</v>
      </c>
      <c r="Z37" s="26">
        <f t="shared" si="13"/>
        <v>0.3610000000000001</v>
      </c>
      <c r="AA37" s="26">
        <f t="shared" si="13"/>
        <v>0.39000000000000012</v>
      </c>
      <c r="AB37" s="26">
        <f t="shared" si="13"/>
        <v>0.4195000000000001</v>
      </c>
      <c r="AC37" s="26">
        <f t="shared" si="13"/>
        <v>0.44950000000000012</v>
      </c>
      <c r="AD37" s="26">
        <f t="shared" si="13"/>
        <v>0.47830000000000011</v>
      </c>
      <c r="AE37" s="26">
        <f t="shared" si="13"/>
        <v>0.50590000000000013</v>
      </c>
      <c r="AF37" s="26">
        <f t="shared" si="13"/>
        <v>0.53230000000000011</v>
      </c>
      <c r="AG37" s="26">
        <f t="shared" si="13"/>
        <v>0.55750000000000011</v>
      </c>
      <c r="AH37" s="26">
        <f t="shared" si="13"/>
        <v>0.58150000000000013</v>
      </c>
      <c r="AI37" s="26">
        <f t="shared" si="13"/>
        <v>0.60430000000000017</v>
      </c>
      <c r="AJ37" s="26">
        <f t="shared" si="13"/>
        <v>0.62590000000000012</v>
      </c>
      <c r="AK37" s="26">
        <f t="shared" si="13"/>
        <v>0.6463000000000001</v>
      </c>
      <c r="AL37" s="26">
        <f t="shared" si="13"/>
        <v>0.66550000000000009</v>
      </c>
      <c r="AM37" s="26">
        <f t="shared" si="13"/>
        <v>0.68350000000000011</v>
      </c>
    </row>
    <row r="38" spans="1:39" ht="15" customHeight="1">
      <c r="A38" s="7" t="s">
        <v>181</v>
      </c>
      <c r="B38" s="7" t="e">
        <f>模型累计+0.066</f>
        <v>#NAME?</v>
      </c>
      <c r="C38" s="27">
        <f t="shared" ref="C38:AM38" si="14">C37+0.066</f>
        <v>6.6000000000000003E-2</v>
      </c>
      <c r="D38" s="27">
        <f t="shared" si="14"/>
        <v>6.6666666666666666E-2</v>
      </c>
      <c r="E38" s="27">
        <f t="shared" si="14"/>
        <v>6.8000000000000005E-2</v>
      </c>
      <c r="F38" s="27">
        <f t="shared" si="14"/>
        <v>7.0000000000000007E-2</v>
      </c>
      <c r="G38" s="27">
        <f t="shared" si="14"/>
        <v>7.2666666666666671E-2</v>
      </c>
      <c r="H38" s="27">
        <f t="shared" si="14"/>
        <v>7.6000000000000012E-2</v>
      </c>
      <c r="I38" s="27">
        <f t="shared" si="14"/>
        <v>0.08</v>
      </c>
      <c r="J38" s="27">
        <f t="shared" si="14"/>
        <v>8.6199999999999999E-2</v>
      </c>
      <c r="K38" s="27">
        <f t="shared" si="14"/>
        <v>9.4600000000000004E-2</v>
      </c>
      <c r="L38" s="27">
        <f t="shared" si="14"/>
        <v>0.10520000000000002</v>
      </c>
      <c r="M38" s="27">
        <f t="shared" si="14"/>
        <v>0.11800000000000001</v>
      </c>
      <c r="N38" s="27">
        <f t="shared" si="14"/>
        <v>0.13300000000000001</v>
      </c>
      <c r="O38" s="27">
        <f t="shared" si="14"/>
        <v>0.15000000000000002</v>
      </c>
      <c r="P38" s="27">
        <f t="shared" si="14"/>
        <v>0.16900000000000001</v>
      </c>
      <c r="Q38" s="27">
        <f t="shared" si="14"/>
        <v>0.19</v>
      </c>
      <c r="R38" s="27">
        <f t="shared" si="14"/>
        <v>0.21300000000000002</v>
      </c>
      <c r="S38" s="27">
        <f t="shared" si="14"/>
        <v>0.23800000000000002</v>
      </c>
      <c r="T38" s="27">
        <f t="shared" si="14"/>
        <v>0.26350000000000001</v>
      </c>
      <c r="U38" s="27">
        <f t="shared" si="14"/>
        <v>0.28949999999999998</v>
      </c>
      <c r="V38" s="27">
        <f t="shared" si="14"/>
        <v>0.316</v>
      </c>
      <c r="W38" s="27">
        <f t="shared" si="14"/>
        <v>0.34300000000000003</v>
      </c>
      <c r="X38" s="27">
        <f t="shared" si="14"/>
        <v>0.37050000000000005</v>
      </c>
      <c r="Y38" s="27">
        <f t="shared" si="14"/>
        <v>0.39850000000000008</v>
      </c>
      <c r="Z38" s="27">
        <f t="shared" si="14"/>
        <v>0.4270000000000001</v>
      </c>
      <c r="AA38" s="27">
        <f t="shared" si="14"/>
        <v>0.45600000000000013</v>
      </c>
      <c r="AB38" s="27">
        <f t="shared" si="14"/>
        <v>0.4855000000000001</v>
      </c>
      <c r="AC38" s="27">
        <f t="shared" si="14"/>
        <v>0.51550000000000007</v>
      </c>
      <c r="AD38" s="27">
        <f t="shared" si="14"/>
        <v>0.54430000000000012</v>
      </c>
      <c r="AE38" s="27">
        <f t="shared" si="14"/>
        <v>0.57190000000000007</v>
      </c>
      <c r="AF38" s="27">
        <f t="shared" si="14"/>
        <v>0.59830000000000005</v>
      </c>
      <c r="AG38" s="27">
        <f t="shared" si="14"/>
        <v>0.62350000000000017</v>
      </c>
      <c r="AH38" s="27">
        <f t="shared" si="14"/>
        <v>0.64750000000000019</v>
      </c>
      <c r="AI38" s="27">
        <f t="shared" si="14"/>
        <v>0.67030000000000012</v>
      </c>
      <c r="AJ38" s="27">
        <f t="shared" si="14"/>
        <v>0.69190000000000018</v>
      </c>
      <c r="AK38" s="27">
        <f t="shared" si="14"/>
        <v>0.71230000000000016</v>
      </c>
      <c r="AL38" s="27">
        <f t="shared" si="14"/>
        <v>0.73150000000000004</v>
      </c>
      <c r="AM38" s="27">
        <f t="shared" si="14"/>
        <v>0.74950000000000006</v>
      </c>
    </row>
    <row r="39" spans="1:39" ht="17.5" customHeight="1">
      <c r="A39" s="34" t="s">
        <v>182</v>
      </c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6"/>
    </row>
    <row r="40" spans="1:39">
      <c r="A40" s="40" t="s">
        <v>183</v>
      </c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6"/>
    </row>
    <row r="41" spans="1:39" ht="17" customHeight="1">
      <c r="A41" s="2" t="s">
        <v>184</v>
      </c>
      <c r="B41" s="7" t="e">
        <f>粗钢产量×1.95</f>
        <v>#NAME?</v>
      </c>
      <c r="C41" s="20">
        <f t="shared" ref="C41:AM41" si="15">C13*1.95</f>
        <v>195992.55</v>
      </c>
      <c r="D41" s="20">
        <f t="shared" si="15"/>
        <v>187357.94999999998</v>
      </c>
      <c r="E41" s="20">
        <f t="shared" si="15"/>
        <v>183300</v>
      </c>
      <c r="F41" s="20">
        <f t="shared" si="15"/>
        <v>180375</v>
      </c>
      <c r="G41" s="20">
        <f t="shared" si="15"/>
        <v>177450</v>
      </c>
      <c r="H41" s="20">
        <f t="shared" si="15"/>
        <v>174525</v>
      </c>
      <c r="I41" s="20">
        <f t="shared" si="15"/>
        <v>171600</v>
      </c>
      <c r="J41" s="20">
        <f t="shared" si="15"/>
        <v>169260</v>
      </c>
      <c r="K41" s="20">
        <f t="shared" si="15"/>
        <v>166920</v>
      </c>
      <c r="L41" s="20">
        <f t="shared" si="15"/>
        <v>164580</v>
      </c>
      <c r="M41" s="20">
        <f t="shared" si="15"/>
        <v>162240</v>
      </c>
      <c r="N41" s="20">
        <f t="shared" si="15"/>
        <v>159900</v>
      </c>
      <c r="O41" s="20">
        <f t="shared" si="15"/>
        <v>158340</v>
      </c>
      <c r="P41" s="20">
        <f t="shared" si="15"/>
        <v>156975</v>
      </c>
      <c r="Q41" s="20">
        <f t="shared" si="15"/>
        <v>155610</v>
      </c>
      <c r="R41" s="20">
        <f t="shared" si="15"/>
        <v>154440</v>
      </c>
      <c r="S41" s="20">
        <f t="shared" si="15"/>
        <v>153270</v>
      </c>
      <c r="T41" s="20">
        <f t="shared" si="15"/>
        <v>152100</v>
      </c>
      <c r="U41" s="20">
        <f t="shared" si="15"/>
        <v>150930</v>
      </c>
      <c r="V41" s="20">
        <f t="shared" si="15"/>
        <v>149760</v>
      </c>
      <c r="W41" s="20">
        <f t="shared" si="15"/>
        <v>148590</v>
      </c>
      <c r="X41" s="20">
        <f t="shared" si="15"/>
        <v>147420</v>
      </c>
      <c r="Y41" s="20">
        <f t="shared" si="15"/>
        <v>146250</v>
      </c>
      <c r="Z41" s="20">
        <f t="shared" si="15"/>
        <v>145275</v>
      </c>
      <c r="AA41" s="20">
        <f t="shared" si="15"/>
        <v>144300</v>
      </c>
      <c r="AB41" s="20">
        <f t="shared" si="15"/>
        <v>143325</v>
      </c>
      <c r="AC41" s="20">
        <f t="shared" si="15"/>
        <v>142350</v>
      </c>
      <c r="AD41" s="20">
        <f t="shared" si="15"/>
        <v>140985</v>
      </c>
      <c r="AE41" s="20">
        <f t="shared" si="15"/>
        <v>139620</v>
      </c>
      <c r="AF41" s="20">
        <f t="shared" si="15"/>
        <v>138255</v>
      </c>
      <c r="AG41" s="20">
        <f t="shared" si="15"/>
        <v>136890</v>
      </c>
      <c r="AH41" s="20">
        <f t="shared" si="15"/>
        <v>135525</v>
      </c>
      <c r="AI41" s="20">
        <f t="shared" si="15"/>
        <v>134160</v>
      </c>
      <c r="AJ41" s="20">
        <f t="shared" si="15"/>
        <v>132990</v>
      </c>
      <c r="AK41" s="20">
        <f t="shared" si="15"/>
        <v>131820</v>
      </c>
      <c r="AL41" s="20">
        <f t="shared" si="15"/>
        <v>130845</v>
      </c>
      <c r="AM41" s="20">
        <f t="shared" si="15"/>
        <v>129870</v>
      </c>
    </row>
    <row r="42" spans="1:39" ht="17" customHeight="1">
      <c r="A42" s="2" t="s">
        <v>185</v>
      </c>
      <c r="B42" s="7" t="e">
        <f>基准产量×1.95-当年曲线</f>
        <v>#NAME?</v>
      </c>
      <c r="C42" s="20">
        <f t="shared" ref="C42:AM42" si="16">100509*1.95-C41</f>
        <v>0</v>
      </c>
      <c r="D42" s="20">
        <f t="shared" si="16"/>
        <v>8634.6000000000058</v>
      </c>
      <c r="E42" s="20">
        <f t="shared" si="16"/>
        <v>12692.549999999988</v>
      </c>
      <c r="F42" s="20">
        <f t="shared" si="16"/>
        <v>15617.549999999988</v>
      </c>
      <c r="G42" s="20">
        <f t="shared" si="16"/>
        <v>18542.549999999988</v>
      </c>
      <c r="H42" s="20">
        <f t="shared" si="16"/>
        <v>21467.549999999988</v>
      </c>
      <c r="I42" s="20">
        <f t="shared" si="16"/>
        <v>24392.549999999988</v>
      </c>
      <c r="J42" s="20">
        <f t="shared" si="16"/>
        <v>26732.549999999988</v>
      </c>
      <c r="K42" s="20">
        <f t="shared" si="16"/>
        <v>29072.549999999988</v>
      </c>
      <c r="L42" s="20">
        <f t="shared" si="16"/>
        <v>31412.549999999988</v>
      </c>
      <c r="M42" s="20">
        <f t="shared" si="16"/>
        <v>33752.549999999988</v>
      </c>
      <c r="N42" s="20">
        <f t="shared" si="16"/>
        <v>36092.549999999988</v>
      </c>
      <c r="O42" s="20">
        <f t="shared" si="16"/>
        <v>37652.549999999988</v>
      </c>
      <c r="P42" s="20">
        <f t="shared" si="16"/>
        <v>39017.549999999988</v>
      </c>
      <c r="Q42" s="20">
        <f t="shared" si="16"/>
        <v>40382.549999999988</v>
      </c>
      <c r="R42" s="20">
        <f t="shared" si="16"/>
        <v>41552.549999999988</v>
      </c>
      <c r="S42" s="20">
        <f t="shared" si="16"/>
        <v>42722.549999999988</v>
      </c>
      <c r="T42" s="20">
        <f t="shared" si="16"/>
        <v>43892.549999999988</v>
      </c>
      <c r="U42" s="20">
        <f t="shared" si="16"/>
        <v>45062.549999999988</v>
      </c>
      <c r="V42" s="20">
        <f t="shared" si="16"/>
        <v>46232.549999999988</v>
      </c>
      <c r="W42" s="20">
        <f t="shared" si="16"/>
        <v>47402.549999999988</v>
      </c>
      <c r="X42" s="20">
        <f t="shared" si="16"/>
        <v>48572.549999999988</v>
      </c>
      <c r="Y42" s="20">
        <f t="shared" si="16"/>
        <v>49742.549999999988</v>
      </c>
      <c r="Z42" s="20">
        <f t="shared" si="16"/>
        <v>50717.549999999988</v>
      </c>
      <c r="AA42" s="20">
        <f t="shared" si="16"/>
        <v>51692.549999999988</v>
      </c>
      <c r="AB42" s="20">
        <f t="shared" si="16"/>
        <v>52667.549999999988</v>
      </c>
      <c r="AC42" s="20">
        <f t="shared" si="16"/>
        <v>53642.549999999988</v>
      </c>
      <c r="AD42" s="20">
        <f t="shared" si="16"/>
        <v>55007.549999999988</v>
      </c>
      <c r="AE42" s="20">
        <f t="shared" si="16"/>
        <v>56372.549999999988</v>
      </c>
      <c r="AF42" s="20">
        <f t="shared" si="16"/>
        <v>57737.549999999988</v>
      </c>
      <c r="AG42" s="20">
        <f t="shared" si="16"/>
        <v>59102.549999999988</v>
      </c>
      <c r="AH42" s="20">
        <f t="shared" si="16"/>
        <v>60467.549999999988</v>
      </c>
      <c r="AI42" s="20">
        <f t="shared" si="16"/>
        <v>61832.549999999988</v>
      </c>
      <c r="AJ42" s="20">
        <f t="shared" si="16"/>
        <v>63002.549999999988</v>
      </c>
      <c r="AK42" s="20">
        <f t="shared" si="16"/>
        <v>64172.549999999988</v>
      </c>
      <c r="AL42" s="20">
        <f t="shared" si="16"/>
        <v>65147.549999999988</v>
      </c>
      <c r="AM42" s="20">
        <f t="shared" si="16"/>
        <v>66122.549999999988</v>
      </c>
    </row>
    <row r="43" spans="1:39">
      <c r="A43" s="40" t="s">
        <v>186</v>
      </c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6"/>
    </row>
    <row r="44" spans="1:39" ht="17" customHeight="1">
      <c r="A44" s="2" t="s">
        <v>187</v>
      </c>
      <c r="B44" s="7"/>
      <c r="C44" s="20">
        <f t="shared" ref="C44:AM44" si="17">((C28-38394.44)/1.1)*(1.8-0.45)</f>
        <v>-2.4545454639750956E-3</v>
      </c>
      <c r="D44" s="20">
        <f t="shared" si="17"/>
        <v>-1730.0377636363557</v>
      </c>
      <c r="E44" s="20">
        <f t="shared" si="17"/>
        <v>-2374.7400000000021</v>
      </c>
      <c r="F44" s="20">
        <f t="shared" si="17"/>
        <v>-2755.7672727272757</v>
      </c>
      <c r="G44" s="20">
        <f t="shared" si="17"/>
        <v>-3147.5945454545522</v>
      </c>
      <c r="H44" s="20">
        <f t="shared" si="17"/>
        <v>-3550.2218181818148</v>
      </c>
      <c r="I44" s="20">
        <f t="shared" si="17"/>
        <v>-3963.6490909090899</v>
      </c>
      <c r="J44" s="20">
        <f t="shared" si="17"/>
        <v>-3819.2432727272753</v>
      </c>
      <c r="K44" s="20">
        <f t="shared" si="17"/>
        <v>-3695.1021818181912</v>
      </c>
      <c r="L44" s="20">
        <f t="shared" si="17"/>
        <v>-3591.2258181818192</v>
      </c>
      <c r="M44" s="20">
        <f t="shared" si="17"/>
        <v>-3507.6141818181782</v>
      </c>
      <c r="N44" s="20">
        <f t="shared" si="17"/>
        <v>-3444.2672727272757</v>
      </c>
      <c r="O44" s="20">
        <f t="shared" si="17"/>
        <v>-2794.1072727272731</v>
      </c>
      <c r="P44" s="20">
        <f t="shared" si="17"/>
        <v>-2109.2399999999993</v>
      </c>
      <c r="Q44" s="20">
        <f t="shared" si="17"/>
        <v>-1442.9290909090923</v>
      </c>
      <c r="R44" s="20">
        <f t="shared" si="17"/>
        <v>-736.60909090909627</v>
      </c>
      <c r="S44" s="20">
        <f t="shared" si="17"/>
        <v>-46.194545454544738</v>
      </c>
      <c r="T44" s="20">
        <f t="shared" si="17"/>
        <v>456.0054545454517</v>
      </c>
      <c r="U44" s="20">
        <f t="shared" si="17"/>
        <v>944.950909090908</v>
      </c>
      <c r="V44" s="20">
        <f t="shared" si="17"/>
        <v>1420.6418181818153</v>
      </c>
      <c r="W44" s="20">
        <f t="shared" si="17"/>
        <v>1883.0781818181824</v>
      </c>
      <c r="X44" s="20">
        <f t="shared" si="17"/>
        <v>2332.2600000000007</v>
      </c>
      <c r="Y44" s="20">
        <f t="shared" si="17"/>
        <v>2768.1872727272698</v>
      </c>
      <c r="Z44" s="20">
        <f t="shared" si="17"/>
        <v>3258.4827272727243</v>
      </c>
      <c r="AA44" s="20">
        <f t="shared" si="17"/>
        <v>3737.7327272727243</v>
      </c>
      <c r="AB44" s="20">
        <f t="shared" si="17"/>
        <v>4205.9372727272703</v>
      </c>
      <c r="AC44" s="20">
        <f t="shared" si="17"/>
        <v>4663.0963636363604</v>
      </c>
      <c r="AD44" s="20">
        <f t="shared" si="17"/>
        <v>4947.3818181818142</v>
      </c>
      <c r="AE44" s="20">
        <f t="shared" si="17"/>
        <v>5216.547272727269</v>
      </c>
      <c r="AF44" s="20">
        <f t="shared" si="17"/>
        <v>5470.5927272727322</v>
      </c>
      <c r="AG44" s="20">
        <f t="shared" si="17"/>
        <v>5709.5181818181782</v>
      </c>
      <c r="AH44" s="20">
        <f t="shared" si="17"/>
        <v>5933.3236363636333</v>
      </c>
      <c r="AI44" s="20">
        <f t="shared" si="17"/>
        <v>6142.0090909090895</v>
      </c>
      <c r="AJ44" s="20">
        <f t="shared" si="17"/>
        <v>6414.0709090909077</v>
      </c>
      <c r="AK44" s="20">
        <f t="shared" si="17"/>
        <v>6673.1727272727285</v>
      </c>
      <c r="AL44" s="20">
        <f t="shared" si="17"/>
        <v>6999.9709090909182</v>
      </c>
      <c r="AM44" s="20">
        <f t="shared" si="17"/>
        <v>7315.969090909095</v>
      </c>
    </row>
    <row r="45" spans="1:39" ht="17" customHeight="1">
      <c r="A45" s="2" t="s">
        <v>188</v>
      </c>
      <c r="B45" s="7" t="e">
        <f>产量曲线-原料降碳</f>
        <v>#NAME?</v>
      </c>
      <c r="C45" s="20">
        <f t="shared" ref="C45:AM45" si="18">C41-C44</f>
        <v>195992.55245454545</v>
      </c>
      <c r="D45" s="20">
        <f t="shared" si="18"/>
        <v>189087.98776363634</v>
      </c>
      <c r="E45" s="20">
        <f t="shared" si="18"/>
        <v>185674.74</v>
      </c>
      <c r="F45" s="20">
        <f t="shared" si="18"/>
        <v>183130.76727272727</v>
      </c>
      <c r="G45" s="20">
        <f t="shared" si="18"/>
        <v>180597.59454545454</v>
      </c>
      <c r="H45" s="20">
        <f t="shared" si="18"/>
        <v>178075.2218181818</v>
      </c>
      <c r="I45" s="20">
        <f t="shared" si="18"/>
        <v>175563.64909090908</v>
      </c>
      <c r="J45" s="20">
        <f t="shared" si="18"/>
        <v>173079.24327272727</v>
      </c>
      <c r="K45" s="20">
        <f t="shared" si="18"/>
        <v>170615.10218181819</v>
      </c>
      <c r="L45" s="20">
        <f t="shared" si="18"/>
        <v>168171.22581818182</v>
      </c>
      <c r="M45" s="20">
        <f t="shared" si="18"/>
        <v>165747.61418181818</v>
      </c>
      <c r="N45" s="20">
        <f t="shared" si="18"/>
        <v>163344.26727272727</v>
      </c>
      <c r="O45" s="20">
        <f t="shared" si="18"/>
        <v>161134.10727272727</v>
      </c>
      <c r="P45" s="20">
        <f t="shared" si="18"/>
        <v>159084.24</v>
      </c>
      <c r="Q45" s="20">
        <f t="shared" si="18"/>
        <v>157052.92909090908</v>
      </c>
      <c r="R45" s="20">
        <f t="shared" si="18"/>
        <v>155176.6090909091</v>
      </c>
      <c r="S45" s="20">
        <f t="shared" si="18"/>
        <v>153316.19454545455</v>
      </c>
      <c r="T45" s="20">
        <f t="shared" si="18"/>
        <v>151643.99454545454</v>
      </c>
      <c r="U45" s="20">
        <f t="shared" si="18"/>
        <v>149985.0490909091</v>
      </c>
      <c r="V45" s="20">
        <f t="shared" si="18"/>
        <v>148339.35818181818</v>
      </c>
      <c r="W45" s="20">
        <f t="shared" si="18"/>
        <v>146706.92181818181</v>
      </c>
      <c r="X45" s="20">
        <f t="shared" si="18"/>
        <v>145087.74</v>
      </c>
      <c r="Y45" s="20">
        <f t="shared" si="18"/>
        <v>143481.81272727274</v>
      </c>
      <c r="Z45" s="20">
        <f t="shared" si="18"/>
        <v>142016.51727272727</v>
      </c>
      <c r="AA45" s="20">
        <f t="shared" si="18"/>
        <v>140562.26727272727</v>
      </c>
      <c r="AB45" s="20">
        <f t="shared" si="18"/>
        <v>139119.06272727274</v>
      </c>
      <c r="AC45" s="20">
        <f t="shared" si="18"/>
        <v>137686.90363636363</v>
      </c>
      <c r="AD45" s="20">
        <f t="shared" si="18"/>
        <v>136037.61818181819</v>
      </c>
      <c r="AE45" s="20">
        <f t="shared" si="18"/>
        <v>134403.45272727273</v>
      </c>
      <c r="AF45" s="20">
        <f t="shared" si="18"/>
        <v>132784.40727272726</v>
      </c>
      <c r="AG45" s="20">
        <f t="shared" si="18"/>
        <v>131180.48181818181</v>
      </c>
      <c r="AH45" s="20">
        <f t="shared" si="18"/>
        <v>129591.67636363636</v>
      </c>
      <c r="AI45" s="20">
        <f t="shared" si="18"/>
        <v>128017.99090909091</v>
      </c>
      <c r="AJ45" s="20">
        <f t="shared" si="18"/>
        <v>126575.92909090909</v>
      </c>
      <c r="AK45" s="20">
        <f t="shared" si="18"/>
        <v>125146.82727272727</v>
      </c>
      <c r="AL45" s="20">
        <f t="shared" si="18"/>
        <v>123845.02909090908</v>
      </c>
      <c r="AM45" s="20">
        <f t="shared" si="18"/>
        <v>122554.0309090909</v>
      </c>
    </row>
    <row r="46" spans="1:39">
      <c r="A46" s="40" t="s">
        <v>189</v>
      </c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6"/>
    </row>
    <row r="47" spans="1:39" ht="17" customHeight="1">
      <c r="A47" s="2" t="s">
        <v>190</v>
      </c>
      <c r="B47" s="7"/>
      <c r="C47" s="20">
        <f t="shared" ref="C47:AM47" si="19">(C25-11055.99)*1.26</f>
        <v>0</v>
      </c>
      <c r="D47" s="20">
        <f t="shared" si="19"/>
        <v>-169.8265800000016</v>
      </c>
      <c r="E47" s="20">
        <f t="shared" si="19"/>
        <v>-33.587399999994375</v>
      </c>
      <c r="F47" s="20">
        <f t="shared" si="19"/>
        <v>172.00260000000029</v>
      </c>
      <c r="G47" s="20">
        <f t="shared" si="19"/>
        <v>363.73259999999721</v>
      </c>
      <c r="H47" s="20">
        <f t="shared" si="19"/>
        <v>541.60260000000562</v>
      </c>
      <c r="I47" s="20">
        <f t="shared" si="19"/>
        <v>705.61260000000254</v>
      </c>
      <c r="J47" s="20">
        <f t="shared" si="19"/>
        <v>1468.467000000001</v>
      </c>
      <c r="K47" s="20">
        <f t="shared" si="19"/>
        <v>2204.7102000000027</v>
      </c>
      <c r="L47" s="20">
        <f t="shared" si="19"/>
        <v>2914.3422000000014</v>
      </c>
      <c r="M47" s="20">
        <f t="shared" si="19"/>
        <v>3597.3630000000012</v>
      </c>
      <c r="N47" s="20">
        <f t="shared" si="19"/>
        <v>4253.772600000003</v>
      </c>
      <c r="O47" s="20">
        <f t="shared" si="19"/>
        <v>5426.8830000000016</v>
      </c>
      <c r="P47" s="20">
        <f t="shared" si="19"/>
        <v>6598.8846000000012</v>
      </c>
      <c r="Q47" s="20">
        <f t="shared" si="19"/>
        <v>7747.6014000000014</v>
      </c>
      <c r="R47" s="20">
        <f t="shared" si="19"/>
        <v>8901.8621999999996</v>
      </c>
      <c r="S47" s="20">
        <f t="shared" si="19"/>
        <v>10036.164600000002</v>
      </c>
      <c r="T47" s="20">
        <f t="shared" si="19"/>
        <v>10934.292600000001</v>
      </c>
      <c r="U47" s="20">
        <f t="shared" si="19"/>
        <v>11815.788600000003</v>
      </c>
      <c r="V47" s="20">
        <f t="shared" si="19"/>
        <v>12680.652600000001</v>
      </c>
      <c r="W47" s="20">
        <f t="shared" si="19"/>
        <v>13528.884600000001</v>
      </c>
      <c r="X47" s="20">
        <f t="shared" si="19"/>
        <v>14360.484600000002</v>
      </c>
      <c r="Y47" s="20">
        <f t="shared" si="19"/>
        <v>15175.452600000004</v>
      </c>
      <c r="Z47" s="20">
        <f t="shared" si="19"/>
        <v>16013.982600000005</v>
      </c>
      <c r="AA47" s="20">
        <f t="shared" si="19"/>
        <v>16838.652600000005</v>
      </c>
      <c r="AB47" s="20">
        <f t="shared" si="19"/>
        <v>17649.462600000006</v>
      </c>
      <c r="AC47" s="20">
        <f t="shared" si="19"/>
        <v>18446.412600000003</v>
      </c>
      <c r="AD47" s="20">
        <f t="shared" si="19"/>
        <v>19138.026600000001</v>
      </c>
      <c r="AE47" s="20">
        <f t="shared" si="19"/>
        <v>19810.236600000004</v>
      </c>
      <c r="AF47" s="20">
        <f t="shared" si="19"/>
        <v>20463.042600000004</v>
      </c>
      <c r="AG47" s="20">
        <f t="shared" si="19"/>
        <v>21096.444599999999</v>
      </c>
      <c r="AH47" s="20">
        <f t="shared" si="19"/>
        <v>21710.442600000002</v>
      </c>
      <c r="AI47" s="20">
        <f t="shared" si="19"/>
        <v>22305.036600000003</v>
      </c>
      <c r="AJ47" s="20">
        <f t="shared" si="19"/>
        <v>22934.280600000006</v>
      </c>
      <c r="AK47" s="20">
        <f t="shared" si="19"/>
        <v>23546.892600000003</v>
      </c>
      <c r="AL47" s="20">
        <f t="shared" si="19"/>
        <v>24199.6986</v>
      </c>
      <c r="AM47" s="20">
        <f t="shared" si="19"/>
        <v>24838.6446</v>
      </c>
    </row>
    <row r="48" spans="1:39" ht="17" customHeight="1">
      <c r="A48" s="2" t="s">
        <v>191</v>
      </c>
      <c r="B48" s="7" t="e">
        <f>原料曲线-短流程降碳</f>
        <v>#NAME?</v>
      </c>
      <c r="C48" s="20">
        <f t="shared" ref="C48:AM48" si="20">C45-C47</f>
        <v>195992.55245454545</v>
      </c>
      <c r="D48" s="20">
        <f t="shared" si="20"/>
        <v>189257.81434363633</v>
      </c>
      <c r="E48" s="20">
        <f t="shared" si="20"/>
        <v>185708.32739999998</v>
      </c>
      <c r="F48" s="20">
        <f t="shared" si="20"/>
        <v>182958.76467272727</v>
      </c>
      <c r="G48" s="20">
        <f t="shared" si="20"/>
        <v>180233.86194545456</v>
      </c>
      <c r="H48" s="20">
        <f t="shared" si="20"/>
        <v>177533.61921818179</v>
      </c>
      <c r="I48" s="20">
        <f t="shared" si="20"/>
        <v>174858.03649090909</v>
      </c>
      <c r="J48" s="20">
        <f t="shared" si="20"/>
        <v>171610.77627272726</v>
      </c>
      <c r="K48" s="20">
        <f t="shared" si="20"/>
        <v>168410.39198181819</v>
      </c>
      <c r="L48" s="20">
        <f t="shared" si="20"/>
        <v>165256.8836181818</v>
      </c>
      <c r="M48" s="20">
        <f t="shared" si="20"/>
        <v>162150.25118181817</v>
      </c>
      <c r="N48" s="20">
        <f t="shared" si="20"/>
        <v>159090.49467272728</v>
      </c>
      <c r="O48" s="20">
        <f t="shared" si="20"/>
        <v>155707.22427272727</v>
      </c>
      <c r="P48" s="20">
        <f t="shared" si="20"/>
        <v>152485.3554</v>
      </c>
      <c r="Q48" s="20">
        <f t="shared" si="20"/>
        <v>149305.32769090906</v>
      </c>
      <c r="R48" s="20">
        <f t="shared" si="20"/>
        <v>146274.7468909091</v>
      </c>
      <c r="S48" s="20">
        <f t="shared" si="20"/>
        <v>143280.02994545456</v>
      </c>
      <c r="T48" s="20">
        <f t="shared" si="20"/>
        <v>140709.70194545452</v>
      </c>
      <c r="U48" s="20">
        <f t="shared" si="20"/>
        <v>138169.2604909091</v>
      </c>
      <c r="V48" s="20">
        <f t="shared" si="20"/>
        <v>135658.70558181818</v>
      </c>
      <c r="W48" s="20">
        <f t="shared" si="20"/>
        <v>133178.03721818182</v>
      </c>
      <c r="X48" s="20">
        <f t="shared" si="20"/>
        <v>130727.25539999999</v>
      </c>
      <c r="Y48" s="20">
        <f t="shared" si="20"/>
        <v>128306.36012727274</v>
      </c>
      <c r="Z48" s="20">
        <f t="shared" si="20"/>
        <v>126002.53467272727</v>
      </c>
      <c r="AA48" s="20">
        <f t="shared" si="20"/>
        <v>123723.61467272727</v>
      </c>
      <c r="AB48" s="20">
        <f t="shared" si="20"/>
        <v>121469.60012727274</v>
      </c>
      <c r="AC48" s="20">
        <f t="shared" si="20"/>
        <v>119240.49103636362</v>
      </c>
      <c r="AD48" s="20">
        <f t="shared" si="20"/>
        <v>116899.5915818182</v>
      </c>
      <c r="AE48" s="20">
        <f t="shared" si="20"/>
        <v>114593.21612727272</v>
      </c>
      <c r="AF48" s="20">
        <f t="shared" si="20"/>
        <v>112321.36467272726</v>
      </c>
      <c r="AG48" s="20">
        <f t="shared" si="20"/>
        <v>110084.03721818181</v>
      </c>
      <c r="AH48" s="20">
        <f t="shared" si="20"/>
        <v>107881.23376363635</v>
      </c>
      <c r="AI48" s="20">
        <f t="shared" si="20"/>
        <v>105712.9543090909</v>
      </c>
      <c r="AJ48" s="20">
        <f t="shared" si="20"/>
        <v>103641.64849090908</v>
      </c>
      <c r="AK48" s="20">
        <f t="shared" si="20"/>
        <v>101599.93467272726</v>
      </c>
      <c r="AL48" s="20">
        <f t="shared" si="20"/>
        <v>99645.33049090908</v>
      </c>
      <c r="AM48" s="20">
        <f t="shared" si="20"/>
        <v>97715.3863090909</v>
      </c>
    </row>
    <row r="49" spans="1:39">
      <c r="A49" s="40" t="s">
        <v>192</v>
      </c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6"/>
    </row>
    <row r="50" spans="1:39" ht="17" customHeight="1">
      <c r="A50" s="2" t="s">
        <v>193</v>
      </c>
      <c r="B50" s="7"/>
      <c r="C50" s="20">
        <f t="shared" ref="C50:AM50" si="21">((C27-952.52)/1.65)*1.26</f>
        <v>2.8964727271655151E-3</v>
      </c>
      <c r="D50" s="20">
        <f t="shared" si="21"/>
        <v>60.66906765818149</v>
      </c>
      <c r="E50" s="20">
        <f t="shared" si="21"/>
        <v>134.30439272727278</v>
      </c>
      <c r="F50" s="20">
        <f t="shared" si="21"/>
        <v>209.81023636363611</v>
      </c>
      <c r="G50" s="20">
        <f t="shared" si="21"/>
        <v>282.42128727272706</v>
      </c>
      <c r="H50" s="20">
        <f t="shared" si="21"/>
        <v>352.13754545454577</v>
      </c>
      <c r="I50" s="20">
        <f t="shared" si="21"/>
        <v>418.95901090909092</v>
      </c>
      <c r="J50" s="20">
        <f t="shared" si="21"/>
        <v>554.08793541818181</v>
      </c>
      <c r="K50" s="20">
        <f t="shared" si="21"/>
        <v>685.04835839999987</v>
      </c>
      <c r="L50" s="20">
        <f t="shared" si="21"/>
        <v>811.84027985454543</v>
      </c>
      <c r="M50" s="20">
        <f t="shared" si="21"/>
        <v>934.46369978181815</v>
      </c>
      <c r="N50" s="20">
        <f t="shared" si="21"/>
        <v>1052.9186181818184</v>
      </c>
      <c r="O50" s="20">
        <f t="shared" si="21"/>
        <v>1388.1356159999998</v>
      </c>
      <c r="P50" s="20">
        <f t="shared" si="21"/>
        <v>1719.4446436363635</v>
      </c>
      <c r="Q50" s="20">
        <f t="shared" si="21"/>
        <v>2044.6746065454549</v>
      </c>
      <c r="R50" s="20">
        <f t="shared" si="21"/>
        <v>2367.7334749090905</v>
      </c>
      <c r="S50" s="20">
        <f t="shared" si="21"/>
        <v>2685.5817163636361</v>
      </c>
      <c r="T50" s="20">
        <f t="shared" si="21"/>
        <v>2941.7708727272729</v>
      </c>
      <c r="U50" s="20">
        <f t="shared" si="21"/>
        <v>3193.6178399999999</v>
      </c>
      <c r="V50" s="20">
        <f t="shared" si="21"/>
        <v>3441.1226181818183</v>
      </c>
      <c r="W50" s="20">
        <f t="shared" si="21"/>
        <v>3684.2852072727278</v>
      </c>
      <c r="X50" s="20">
        <f t="shared" si="21"/>
        <v>3923.1056072727274</v>
      </c>
      <c r="Y50" s="20">
        <f t="shared" si="21"/>
        <v>4157.583818181819</v>
      </c>
      <c r="Z50" s="20">
        <f t="shared" si="21"/>
        <v>4394.5949727272728</v>
      </c>
      <c r="AA50" s="20">
        <f t="shared" si="21"/>
        <v>4627.9876363636358</v>
      </c>
      <c r="AB50" s="20">
        <f t="shared" si="21"/>
        <v>4857.7618090909082</v>
      </c>
      <c r="AC50" s="20">
        <f t="shared" si="21"/>
        <v>5083.9174909090898</v>
      </c>
      <c r="AD50" s="20">
        <f t="shared" si="21"/>
        <v>5237.4862450909086</v>
      </c>
      <c r="AE50" s="20">
        <f t="shared" si="21"/>
        <v>5387.0022894545436</v>
      </c>
      <c r="AF50" s="20">
        <f t="shared" si="21"/>
        <v>5532.4656240000004</v>
      </c>
      <c r="AG50" s="20">
        <f t="shared" si="21"/>
        <v>5673.8762487272743</v>
      </c>
      <c r="AH50" s="20">
        <f t="shared" si="21"/>
        <v>5811.2341636363635</v>
      </c>
      <c r="AI50" s="20">
        <f t="shared" si="21"/>
        <v>5944.5393687272735</v>
      </c>
      <c r="AJ50" s="20">
        <f t="shared" si="21"/>
        <v>6083.7788989090905</v>
      </c>
      <c r="AK50" s="20">
        <f t="shared" si="21"/>
        <v>6219.5446778181822</v>
      </c>
      <c r="AL50" s="20">
        <f t="shared" si="21"/>
        <v>6362.4026989090917</v>
      </c>
      <c r="AM50" s="20">
        <f t="shared" si="21"/>
        <v>6502.3659272727273</v>
      </c>
    </row>
    <row r="51" spans="1:39" ht="17" customHeight="1">
      <c r="A51" s="2" t="s">
        <v>194</v>
      </c>
      <c r="B51" s="7" t="e">
        <f>短流程曲线-氢冶金降碳</f>
        <v>#NAME?</v>
      </c>
      <c r="C51" s="20">
        <f t="shared" ref="C51:AM51" si="22">C48-C50</f>
        <v>195992.54955807273</v>
      </c>
      <c r="D51" s="20">
        <f t="shared" si="22"/>
        <v>189197.14527597814</v>
      </c>
      <c r="E51" s="20">
        <f t="shared" si="22"/>
        <v>185574.02300727271</v>
      </c>
      <c r="F51" s="20">
        <f t="shared" si="22"/>
        <v>182748.95443636362</v>
      </c>
      <c r="G51" s="20">
        <f t="shared" si="22"/>
        <v>179951.44065818182</v>
      </c>
      <c r="H51" s="20">
        <f t="shared" si="22"/>
        <v>177181.48167272724</v>
      </c>
      <c r="I51" s="20">
        <f t="shared" si="22"/>
        <v>174439.07748000001</v>
      </c>
      <c r="J51" s="20">
        <f t="shared" si="22"/>
        <v>171056.68833730908</v>
      </c>
      <c r="K51" s="20">
        <f t="shared" si="22"/>
        <v>167725.34362341819</v>
      </c>
      <c r="L51" s="20">
        <f t="shared" si="22"/>
        <v>164445.04333832726</v>
      </c>
      <c r="M51" s="20">
        <f t="shared" si="22"/>
        <v>161215.78748203634</v>
      </c>
      <c r="N51" s="20">
        <f t="shared" si="22"/>
        <v>158037.57605454547</v>
      </c>
      <c r="O51" s="20">
        <f t="shared" si="22"/>
        <v>154319.08865672725</v>
      </c>
      <c r="P51" s="20">
        <f t="shared" si="22"/>
        <v>150765.91075636365</v>
      </c>
      <c r="Q51" s="20">
        <f t="shared" si="22"/>
        <v>147260.65308436361</v>
      </c>
      <c r="R51" s="20">
        <f t="shared" si="22"/>
        <v>143907.013416</v>
      </c>
      <c r="S51" s="20">
        <f t="shared" si="22"/>
        <v>140594.44822909092</v>
      </c>
      <c r="T51" s="20">
        <f t="shared" si="22"/>
        <v>137767.93107272725</v>
      </c>
      <c r="U51" s="20">
        <f t="shared" si="22"/>
        <v>134975.64265090911</v>
      </c>
      <c r="V51" s="20">
        <f t="shared" si="22"/>
        <v>132217.58296363638</v>
      </c>
      <c r="W51" s="20">
        <f t="shared" si="22"/>
        <v>129493.7520109091</v>
      </c>
      <c r="X51" s="20">
        <f t="shared" si="22"/>
        <v>126804.14979272727</v>
      </c>
      <c r="Y51" s="20">
        <f t="shared" si="22"/>
        <v>124148.77630909091</v>
      </c>
      <c r="Z51" s="20">
        <f t="shared" si="22"/>
        <v>121607.9397</v>
      </c>
      <c r="AA51" s="20">
        <f t="shared" si="22"/>
        <v>119095.62703636364</v>
      </c>
      <c r="AB51" s="20">
        <f t="shared" si="22"/>
        <v>116611.83831818184</v>
      </c>
      <c r="AC51" s="20">
        <f t="shared" si="22"/>
        <v>114156.57354545452</v>
      </c>
      <c r="AD51" s="20">
        <f t="shared" si="22"/>
        <v>111662.10533672728</v>
      </c>
      <c r="AE51" s="20">
        <f t="shared" si="22"/>
        <v>109206.21383781818</v>
      </c>
      <c r="AF51" s="20">
        <f t="shared" si="22"/>
        <v>106788.89904872725</v>
      </c>
      <c r="AG51" s="20">
        <f t="shared" si="22"/>
        <v>104410.16096945453</v>
      </c>
      <c r="AH51" s="20">
        <f t="shared" si="22"/>
        <v>102069.99959999998</v>
      </c>
      <c r="AI51" s="20">
        <f t="shared" si="22"/>
        <v>99768.414940363626</v>
      </c>
      <c r="AJ51" s="20">
        <f t="shared" si="22"/>
        <v>97557.869591999988</v>
      </c>
      <c r="AK51" s="20">
        <f t="shared" si="22"/>
        <v>95380.389994909085</v>
      </c>
      <c r="AL51" s="20">
        <f t="shared" si="22"/>
        <v>93282.927791999988</v>
      </c>
      <c r="AM51" s="20">
        <f t="shared" si="22"/>
        <v>91213.020381818176</v>
      </c>
    </row>
    <row r="52" spans="1:39">
      <c r="A52" s="40" t="s">
        <v>195</v>
      </c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6"/>
    </row>
    <row r="53" spans="1:39" ht="17" customHeight="1">
      <c r="A53" s="2" t="s">
        <v>196</v>
      </c>
      <c r="B53" s="7" t="e">
        <f>绿电量×0.5306/1000</f>
        <v>#NAME?</v>
      </c>
      <c r="C53" s="20">
        <f t="shared" ref="C53:AM53" si="23">C33*0.5306/1000</f>
        <v>0</v>
      </c>
      <c r="D53" s="20">
        <f t="shared" si="23"/>
        <v>587.42371691850019</v>
      </c>
      <c r="E53" s="20">
        <f t="shared" si="23"/>
        <v>1150.3991659999997</v>
      </c>
      <c r="F53" s="20">
        <f t="shared" si="23"/>
        <v>1699.53501375</v>
      </c>
      <c r="G53" s="20">
        <f t="shared" si="23"/>
        <v>2231.231366</v>
      </c>
      <c r="H53" s="20">
        <f t="shared" si="23"/>
        <v>2745.4404687499996</v>
      </c>
      <c r="I53" s="20">
        <f t="shared" si="23"/>
        <v>3242.114568</v>
      </c>
      <c r="J53" s="20">
        <f t="shared" si="23"/>
        <v>3759.6646605055994</v>
      </c>
      <c r="K53" s="20">
        <f t="shared" si="23"/>
        <v>4263.8550600128001</v>
      </c>
      <c r="L53" s="20">
        <f t="shared" si="23"/>
        <v>4754.5943844671992</v>
      </c>
      <c r="M53" s="20">
        <f t="shared" si="23"/>
        <v>5231.7912518143994</v>
      </c>
      <c r="N53" s="20">
        <f t="shared" si="23"/>
        <v>5695.3542800000005</v>
      </c>
      <c r="O53" s="20">
        <f t="shared" si="23"/>
        <v>6344.9143755199993</v>
      </c>
      <c r="P53" s="20">
        <f t="shared" si="23"/>
        <v>6993.6194621999994</v>
      </c>
      <c r="Q53" s="20">
        <f t="shared" si="23"/>
        <v>7634.4103315200009</v>
      </c>
      <c r="R53" s="20">
        <f t="shared" si="23"/>
        <v>8277.6248755199995</v>
      </c>
      <c r="S53" s="20">
        <f t="shared" si="23"/>
        <v>8914.4779499999986</v>
      </c>
      <c r="T53" s="20">
        <f t="shared" si="23"/>
        <v>9224.4969179999989</v>
      </c>
      <c r="U53" s="20">
        <f t="shared" si="23"/>
        <v>9530.5475286000001</v>
      </c>
      <c r="V53" s="20">
        <f t="shared" si="23"/>
        <v>9832.5868031999998</v>
      </c>
      <c r="W53" s="20">
        <f t="shared" si="23"/>
        <v>10130.5717632</v>
      </c>
      <c r="X53" s="20">
        <f t="shared" si="23"/>
        <v>10424.459429999999</v>
      </c>
      <c r="Y53" s="20">
        <f t="shared" si="23"/>
        <v>10714.206825000001</v>
      </c>
      <c r="Z53" s="20">
        <f t="shared" si="23"/>
        <v>11014.555608000001</v>
      </c>
      <c r="AA53" s="20">
        <f t="shared" si="23"/>
        <v>11311.680995999999</v>
      </c>
      <c r="AB53" s="20">
        <f t="shared" si="23"/>
        <v>11605.547173499999</v>
      </c>
      <c r="AC53" s="20">
        <f t="shared" si="23"/>
        <v>11896.118324999999</v>
      </c>
      <c r="AD53" s="20">
        <f t="shared" si="23"/>
        <v>12167.254123794</v>
      </c>
      <c r="AE53" s="20">
        <f t="shared" si="23"/>
        <v>12432.663231072</v>
      </c>
      <c r="AF53" s="20">
        <f t="shared" si="23"/>
        <v>12692.294836577999</v>
      </c>
      <c r="AG53" s="20">
        <f t="shared" si="23"/>
        <v>12946.098130055998</v>
      </c>
      <c r="AH53" s="20">
        <f t="shared" si="23"/>
        <v>13194.022301249999</v>
      </c>
      <c r="AI53" s="20">
        <f t="shared" si="23"/>
        <v>13436.016539903998</v>
      </c>
      <c r="AJ53" s="20">
        <f t="shared" si="23"/>
        <v>13692.106438163997</v>
      </c>
      <c r="AK53" s="20">
        <f t="shared" si="23"/>
        <v>13943.264239632001</v>
      </c>
      <c r="AL53" s="20">
        <f t="shared" si="23"/>
        <v>14210.624670857998</v>
      </c>
      <c r="AM53" s="20">
        <f t="shared" si="23"/>
        <v>14474.0750364</v>
      </c>
    </row>
    <row r="54" spans="1:39" ht="17" customHeight="1">
      <c r="A54" s="2" t="s">
        <v>197</v>
      </c>
      <c r="B54" s="7" t="e">
        <f>氢冶金曲线-绿电降碳</f>
        <v>#NAME?</v>
      </c>
      <c r="C54" s="20">
        <f t="shared" ref="C54:AM54" si="24">C51-C53</f>
        <v>195992.54955807273</v>
      </c>
      <c r="D54" s="20">
        <f t="shared" si="24"/>
        <v>188609.72155905963</v>
      </c>
      <c r="E54" s="20">
        <f t="shared" si="24"/>
        <v>184423.62384127273</v>
      </c>
      <c r="F54" s="20">
        <f t="shared" si="24"/>
        <v>181049.41942261363</v>
      </c>
      <c r="G54" s="20">
        <f t="shared" si="24"/>
        <v>177720.20929218183</v>
      </c>
      <c r="H54" s="20">
        <f t="shared" si="24"/>
        <v>174436.04120397725</v>
      </c>
      <c r="I54" s="20">
        <f t="shared" si="24"/>
        <v>171196.96291200002</v>
      </c>
      <c r="J54" s="20">
        <f t="shared" si="24"/>
        <v>167297.02367680348</v>
      </c>
      <c r="K54" s="20">
        <f t="shared" si="24"/>
        <v>163461.48856340538</v>
      </c>
      <c r="L54" s="20">
        <f t="shared" si="24"/>
        <v>159690.44895386006</v>
      </c>
      <c r="M54" s="20">
        <f t="shared" si="24"/>
        <v>155983.99623022194</v>
      </c>
      <c r="N54" s="20">
        <f t="shared" si="24"/>
        <v>152342.22177454547</v>
      </c>
      <c r="O54" s="20">
        <f t="shared" si="24"/>
        <v>147974.17428120726</v>
      </c>
      <c r="P54" s="20">
        <f t="shared" si="24"/>
        <v>143772.29129416365</v>
      </c>
      <c r="Q54" s="20">
        <f t="shared" si="24"/>
        <v>139626.24275284362</v>
      </c>
      <c r="R54" s="20">
        <f t="shared" si="24"/>
        <v>135629.38854047999</v>
      </c>
      <c r="S54" s="20">
        <f t="shared" si="24"/>
        <v>131679.97027909092</v>
      </c>
      <c r="T54" s="20">
        <f t="shared" si="24"/>
        <v>128543.43415472725</v>
      </c>
      <c r="U54" s="20">
        <f t="shared" si="24"/>
        <v>125445.09512230911</v>
      </c>
      <c r="V54" s="20">
        <f t="shared" si="24"/>
        <v>122384.99616043638</v>
      </c>
      <c r="W54" s="20">
        <f t="shared" si="24"/>
        <v>119363.1802477091</v>
      </c>
      <c r="X54" s="20">
        <f t="shared" si="24"/>
        <v>116379.69036272727</v>
      </c>
      <c r="Y54" s="20">
        <f t="shared" si="24"/>
        <v>113434.56948409091</v>
      </c>
      <c r="Z54" s="20">
        <f t="shared" si="24"/>
        <v>110593.38409200001</v>
      </c>
      <c r="AA54" s="20">
        <f t="shared" si="24"/>
        <v>107783.94604036365</v>
      </c>
      <c r="AB54" s="20">
        <f t="shared" si="24"/>
        <v>105006.29114468183</v>
      </c>
      <c r="AC54" s="20">
        <f t="shared" si="24"/>
        <v>102260.45522045452</v>
      </c>
      <c r="AD54" s="20">
        <f t="shared" si="24"/>
        <v>99494.851212933281</v>
      </c>
      <c r="AE54" s="20">
        <f t="shared" si="24"/>
        <v>96773.550606746183</v>
      </c>
      <c r="AF54" s="20">
        <f t="shared" si="24"/>
        <v>94096.60421214925</v>
      </c>
      <c r="AG54" s="20">
        <f t="shared" si="24"/>
        <v>91464.062839398539</v>
      </c>
      <c r="AH54" s="20">
        <f t="shared" si="24"/>
        <v>88875.977298749989</v>
      </c>
      <c r="AI54" s="20">
        <f t="shared" si="24"/>
        <v>86332.398400459628</v>
      </c>
      <c r="AJ54" s="20">
        <f t="shared" si="24"/>
        <v>83865.763153835986</v>
      </c>
      <c r="AK54" s="20">
        <f t="shared" si="24"/>
        <v>81437.125755277084</v>
      </c>
      <c r="AL54" s="20">
        <f t="shared" si="24"/>
        <v>79072.303121141988</v>
      </c>
      <c r="AM54" s="20">
        <f t="shared" si="24"/>
        <v>76738.945345418178</v>
      </c>
    </row>
    <row r="55" spans="1:39">
      <c r="A55" s="40" t="s">
        <v>198</v>
      </c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6"/>
    </row>
    <row r="56" spans="1:39" ht="17" customHeight="1">
      <c r="A56" s="2" t="s">
        <v>199</v>
      </c>
      <c r="B56" s="7" t="e">
        <f>产量×累计技术潜力</f>
        <v>#NAME?</v>
      </c>
      <c r="C56" s="20">
        <f t="shared" ref="C56:AM56" si="25">C13*C37</f>
        <v>0</v>
      </c>
      <c r="D56" s="20">
        <f t="shared" si="25"/>
        <v>64.054000000000002</v>
      </c>
      <c r="E56" s="20">
        <f t="shared" si="25"/>
        <v>187.99999999999997</v>
      </c>
      <c r="F56" s="20">
        <f t="shared" si="25"/>
        <v>370</v>
      </c>
      <c r="G56" s="20">
        <f t="shared" si="25"/>
        <v>606.66666666666674</v>
      </c>
      <c r="H56" s="20">
        <f t="shared" si="25"/>
        <v>895.00000000000023</v>
      </c>
      <c r="I56" s="20">
        <f t="shared" si="25"/>
        <v>1232.0000000000002</v>
      </c>
      <c r="J56" s="20">
        <f t="shared" si="25"/>
        <v>1753.3600000000001</v>
      </c>
      <c r="K56" s="20">
        <f t="shared" si="25"/>
        <v>2448.1600000000003</v>
      </c>
      <c r="L56" s="20">
        <f t="shared" si="25"/>
        <v>3308.4800000000005</v>
      </c>
      <c r="M56" s="20">
        <f t="shared" si="25"/>
        <v>4326.4000000000005</v>
      </c>
      <c r="N56" s="20">
        <f t="shared" si="25"/>
        <v>5494</v>
      </c>
      <c r="O56" s="20">
        <f t="shared" si="25"/>
        <v>6820.8</v>
      </c>
      <c r="P56" s="20">
        <f t="shared" si="25"/>
        <v>8291.5</v>
      </c>
      <c r="Q56" s="20">
        <f t="shared" si="25"/>
        <v>9895.2000000000007</v>
      </c>
      <c r="R56" s="20">
        <f t="shared" si="25"/>
        <v>11642.400000000001</v>
      </c>
      <c r="S56" s="20">
        <f t="shared" si="25"/>
        <v>13519.2</v>
      </c>
      <c r="T56" s="20">
        <f t="shared" si="25"/>
        <v>15405</v>
      </c>
      <c r="U56" s="20">
        <f t="shared" si="25"/>
        <v>17298.900000000001</v>
      </c>
      <c r="V56" s="20">
        <f t="shared" si="25"/>
        <v>19200</v>
      </c>
      <c r="W56" s="20">
        <f t="shared" si="25"/>
        <v>21107.4</v>
      </c>
      <c r="X56" s="20">
        <f t="shared" si="25"/>
        <v>23020.200000000004</v>
      </c>
      <c r="Y56" s="20">
        <f t="shared" si="25"/>
        <v>24937.500000000007</v>
      </c>
      <c r="Z56" s="20">
        <f t="shared" si="25"/>
        <v>26894.500000000007</v>
      </c>
      <c r="AA56" s="20">
        <f t="shared" si="25"/>
        <v>28860.000000000011</v>
      </c>
      <c r="AB56" s="20">
        <f t="shared" si="25"/>
        <v>30833.250000000007</v>
      </c>
      <c r="AC56" s="20">
        <f t="shared" si="25"/>
        <v>32813.500000000007</v>
      </c>
      <c r="AD56" s="20">
        <f t="shared" si="25"/>
        <v>34581.090000000011</v>
      </c>
      <c r="AE56" s="20">
        <f t="shared" si="25"/>
        <v>36222.44000000001</v>
      </c>
      <c r="AF56" s="20">
        <f t="shared" si="25"/>
        <v>37740.070000000007</v>
      </c>
      <c r="AG56" s="20">
        <f t="shared" si="25"/>
        <v>39136.500000000007</v>
      </c>
      <c r="AH56" s="20">
        <f t="shared" si="25"/>
        <v>40414.250000000007</v>
      </c>
      <c r="AI56" s="20">
        <f t="shared" si="25"/>
        <v>41575.840000000011</v>
      </c>
      <c r="AJ56" s="20">
        <f t="shared" si="25"/>
        <v>42686.380000000012</v>
      </c>
      <c r="AK56" s="20">
        <f t="shared" si="25"/>
        <v>43689.880000000005</v>
      </c>
      <c r="AL56" s="20">
        <f t="shared" si="25"/>
        <v>44655.05</v>
      </c>
      <c r="AM56" s="20">
        <f t="shared" si="25"/>
        <v>45521.100000000006</v>
      </c>
    </row>
    <row r="57" spans="1:39" ht="17" customHeight="1">
      <c r="A57" s="2" t="s">
        <v>200</v>
      </c>
      <c r="B57" s="7" t="e">
        <f>能源曲线-技术降碳</f>
        <v>#NAME?</v>
      </c>
      <c r="C57" s="20">
        <f t="shared" ref="C57:AM57" si="26">C54-C56</f>
        <v>195992.54955807273</v>
      </c>
      <c r="D57" s="20">
        <f t="shared" si="26"/>
        <v>188545.66755905963</v>
      </c>
      <c r="E57" s="20">
        <f t="shared" si="26"/>
        <v>184235.62384127273</v>
      </c>
      <c r="F57" s="20">
        <f t="shared" si="26"/>
        <v>180679.41942261363</v>
      </c>
      <c r="G57" s="20">
        <f t="shared" si="26"/>
        <v>177113.54262551517</v>
      </c>
      <c r="H57" s="20">
        <f t="shared" si="26"/>
        <v>173541.04120397725</v>
      </c>
      <c r="I57" s="20">
        <f t="shared" si="26"/>
        <v>169964.96291200002</v>
      </c>
      <c r="J57" s="20">
        <f t="shared" si="26"/>
        <v>165543.6636768035</v>
      </c>
      <c r="K57" s="20">
        <f t="shared" si="26"/>
        <v>161013.32856340538</v>
      </c>
      <c r="L57" s="20">
        <f t="shared" si="26"/>
        <v>156381.96895386005</v>
      </c>
      <c r="M57" s="20">
        <f t="shared" si="26"/>
        <v>151657.59623022194</v>
      </c>
      <c r="N57" s="20">
        <f t="shared" si="26"/>
        <v>146848.22177454547</v>
      </c>
      <c r="O57" s="20">
        <f t="shared" si="26"/>
        <v>141153.37428120727</v>
      </c>
      <c r="P57" s="20">
        <f t="shared" si="26"/>
        <v>135480.79129416365</v>
      </c>
      <c r="Q57" s="20">
        <f t="shared" si="26"/>
        <v>129731.04275284363</v>
      </c>
      <c r="R57" s="20">
        <f t="shared" si="26"/>
        <v>123986.98854048</v>
      </c>
      <c r="S57" s="20">
        <f t="shared" si="26"/>
        <v>118160.77027909092</v>
      </c>
      <c r="T57" s="20">
        <f t="shared" si="26"/>
        <v>113138.43415472725</v>
      </c>
      <c r="U57" s="20">
        <f t="shared" si="26"/>
        <v>108146.19512230912</v>
      </c>
      <c r="V57" s="20">
        <f t="shared" si="26"/>
        <v>103184.99616043638</v>
      </c>
      <c r="W57" s="20">
        <f t="shared" si="26"/>
        <v>98255.780247709103</v>
      </c>
      <c r="X57" s="20">
        <f t="shared" si="26"/>
        <v>93359.490362727258</v>
      </c>
      <c r="Y57" s="20">
        <f t="shared" si="26"/>
        <v>88497.069484090898</v>
      </c>
      <c r="Z57" s="20">
        <f t="shared" si="26"/>
        <v>83698.884091999993</v>
      </c>
      <c r="AA57" s="20">
        <f t="shared" si="26"/>
        <v>78923.946040363633</v>
      </c>
      <c r="AB57" s="20">
        <f t="shared" si="26"/>
        <v>74173.041144681833</v>
      </c>
      <c r="AC57" s="20">
        <f t="shared" si="26"/>
        <v>69446.955220454518</v>
      </c>
      <c r="AD57" s="20">
        <f t="shared" si="26"/>
        <v>64913.76121293327</v>
      </c>
      <c r="AE57" s="20">
        <f t="shared" si="26"/>
        <v>60551.110606746173</v>
      </c>
      <c r="AF57" s="20">
        <f t="shared" si="26"/>
        <v>56356.534212149243</v>
      </c>
      <c r="AG57" s="20">
        <f t="shared" si="26"/>
        <v>52327.562839398532</v>
      </c>
      <c r="AH57" s="20">
        <f t="shared" si="26"/>
        <v>48461.727298749982</v>
      </c>
      <c r="AI57" s="20">
        <f t="shared" si="26"/>
        <v>44756.558400459617</v>
      </c>
      <c r="AJ57" s="20">
        <f t="shared" si="26"/>
        <v>41179.383153835974</v>
      </c>
      <c r="AK57" s="20">
        <f t="shared" si="26"/>
        <v>37747.245755277079</v>
      </c>
      <c r="AL57" s="20">
        <f t="shared" si="26"/>
        <v>34417.253121141985</v>
      </c>
      <c r="AM57" s="20">
        <f t="shared" si="26"/>
        <v>31217.845345418173</v>
      </c>
    </row>
    <row r="58" spans="1:39">
      <c r="A58" s="40" t="s">
        <v>201</v>
      </c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6"/>
    </row>
    <row r="59" spans="1:39" ht="17" customHeight="1">
      <c r="A59" s="2" t="s">
        <v>202</v>
      </c>
      <c r="B59" s="7" t="s">
        <v>203</v>
      </c>
      <c r="C59" s="23">
        <v>0</v>
      </c>
      <c r="D59" s="23">
        <f>MAX(0,MIN(0.98,IF(D57&gt;0,1-汇总对比与可视化看板!D4*D13/D57,0)))</f>
        <v>4.2610024905926913E-3</v>
      </c>
      <c r="E59" s="23">
        <f>MAX(0,MIN(0.98,IF(E57&gt;0,1-汇总对比与可视化看板!D5*E13/E57,0)))</f>
        <v>1.8854246365867966E-2</v>
      </c>
      <c r="F59" s="23">
        <f>MAX(0,MIN(0.98,IF(F57&gt;0,1-汇总对比与可视化看板!D6*F13/F57,0)))</f>
        <v>3.1890291882864408E-2</v>
      </c>
      <c r="G59" s="23">
        <f>MAX(0,MIN(0.98,IF(G57&gt;0,1-汇总对比与可视化看板!D7*G13/G57,0)))</f>
        <v>4.4341852740874321E-2</v>
      </c>
      <c r="H59" s="23">
        <f>MAX(0,MIN(0.98,IF(H57&gt;0,1-汇总对比与可视化看板!D8*H13/H57,0)))</f>
        <v>5.6733215011686822E-2</v>
      </c>
      <c r="I59" s="23">
        <f>MAX(0,MIN(0.98,IF(I57&gt;0,1-汇总对比与可视化看板!D9*I13/I57,0)))</f>
        <v>6.9078724878603004E-2</v>
      </c>
      <c r="J59" s="23">
        <f>MAX(0,MIN(0.98,IF(J57&gt;0,1-汇总对比与可视化看板!D10*J13/J57,0)))</f>
        <v>7.7173981734183772E-2</v>
      </c>
      <c r="K59" s="23">
        <f>MAX(0,MIN(0.98,IF(K57&gt;0,1-汇总对比与可视化看板!D11*K13/K57,0)))</f>
        <v>8.4527962280127822E-2</v>
      </c>
      <c r="L59" s="23">
        <f>MAX(0,MIN(0.98,IF(L57&gt;0,1-汇总对比与可视化看板!D12*L13/L57,0)))</f>
        <v>9.1138185874006683E-2</v>
      </c>
      <c r="M59" s="23">
        <f>MAX(0,MIN(0.98,IF(M57&gt;0,1-汇总对比与可视化看板!D13*M13/M57,0)))</f>
        <v>9.6997424434256629E-2</v>
      </c>
      <c r="N59" s="23">
        <f>MAX(0,MIN(0.98,IF(N57&gt;0,1-汇总对比与可视化看板!D14*N13/N57,0)))</f>
        <v>0.10265171475953427</v>
      </c>
      <c r="O59" s="23">
        <f>MAX(0,MIN(0.98,IF(O57&gt;0,1-汇总对比与可视化看板!D15*O13/O57,0)))</f>
        <v>0.1279046595460025</v>
      </c>
      <c r="P59" s="23">
        <f>MAX(0,MIN(0.98,IF(P57&gt;0,1-汇总对比与可视化看板!D16*P13/P57,0)))</f>
        <v>0.15388743374620217</v>
      </c>
      <c r="Q59" s="23">
        <f>MAX(0,MIN(0.98,IF(Q57&gt;0,1-汇总对比与可视化看板!D17*Q13/Q57,0)))</f>
        <v>0.18004667392786877</v>
      </c>
      <c r="R59" s="23">
        <f>MAX(0,MIN(0.98,IF(R57&gt;0,1-汇总对比与可视化看板!D18*R13/R57,0)))</f>
        <v>0.20727810912263078</v>
      </c>
      <c r="S59" s="23">
        <f>MAX(0,MIN(0.98,IF(S57&gt;0,1-汇总对比与可视化看板!D19*S13/S57,0)))</f>
        <v>0.23502529827367824</v>
      </c>
      <c r="T59" s="23">
        <f>MAX(0,MIN(0.98,IF(T57&gt;0,1-汇总对比与可视化看板!D20*T13/T57,0)))</f>
        <v>0.25887254294745332</v>
      </c>
      <c r="U59" s="23">
        <f>MAX(0,MIN(0.98,IF(U57&gt;0,1-汇总对比与可视化看板!D21*U13/U57,0)))</f>
        <v>0.28430214384830066</v>
      </c>
      <c r="V59" s="23">
        <f>MAX(0,MIN(0.98,IF(V57&gt;0,1-汇总对比与可视化看板!D22*V13/V57,0)))</f>
        <v>0.31152781273021501</v>
      </c>
      <c r="W59" s="23">
        <f>MAX(0,MIN(0.98,IF(W57&gt;0,1-汇总对比与可视化看板!D23*W13/W57,0)))</f>
        <v>0.34080214073196824</v>
      </c>
      <c r="X59" s="23">
        <f>MAX(0,MIN(0.98,IF(X57&gt;0,1-汇总对比与可视化看板!D24*X13/X57,0)))</f>
        <v>0.37242588008608701</v>
      </c>
      <c r="Y59" s="23">
        <f>MAX(0,MIN(0.98,IF(Y57&gt;0,1-汇总对比与可视化看板!D25*Y13/Y57,0)))</f>
        <v>0.40676001695809927</v>
      </c>
      <c r="Z59" s="23">
        <f>MAX(0,MIN(0.98,IF(Z57&gt;0,1-汇总对比与可视化看板!D26*Z13/Z57,0)))</f>
        <v>0.44369031313703644</v>
      </c>
      <c r="AA59" s="23">
        <f>MAX(0,MIN(0.98,IF(AA57&gt;0,1-汇总对比与可视化看板!D27*AA13/AA57,0)))</f>
        <v>0.48431367104750411</v>
      </c>
      <c r="AB59" s="23">
        <f>MAX(0,MIN(0.98,IF(AB57&gt;0,1-汇总对比与可视化看板!D28*AB13/AB57,0)))</f>
        <v>0.52931011778390313</v>
      </c>
      <c r="AC59" s="23">
        <f>MAX(0,MIN(0.98,IF(AC57&gt;0,1-汇总对比与可视化看板!D29*AC13/AC57,0)))</f>
        <v>0.57953520197816255</v>
      </c>
      <c r="AD59" s="23">
        <f>MAX(0,MIN(0.98,IF(AD57&gt;0,1-汇总对比与可视化看板!D30*AD13/AD57,0)))</f>
        <v>0.5934683261776208</v>
      </c>
      <c r="AE59" s="23">
        <f>MAX(0,MIN(0.98,IF(AE57&gt;0,1-汇总对比与可视化看板!D31*AE13/AE57,0)))</f>
        <v>0.6097842010949418</v>
      </c>
      <c r="AF59" s="23">
        <f>MAX(0,MIN(0.98,IF(AF57&gt;0,1-汇总对比与可视化看板!D32*AF13/AF57,0)))</f>
        <v>0.62887178403722577</v>
      </c>
      <c r="AG59" s="23">
        <f>MAX(0,MIN(0.98,IF(AG57&gt;0,1-汇总对比与可视化看板!D33*AG13/AG57,0)))</f>
        <v>0.65119720832368522</v>
      </c>
      <c r="AH59" s="23">
        <f>MAX(0,MIN(0.98,IF(AH57&gt;0,1-汇总对比与可视化看板!D34*AH13/AH57,0)))</f>
        <v>0.67732268592903933</v>
      </c>
      <c r="AI59" s="23">
        <f>MAX(0,MIN(0.98,IF(AI57&gt;0,1-汇总对比与可视化看板!D35*AI13/AI57,0)))</f>
        <v>0.70793107273713518</v>
      </c>
      <c r="AJ59" s="23">
        <f>MAX(0,MIN(0.98,IF(AJ57&gt;0,1-汇总对比与可视化看板!D36*AJ13/AJ57,0)))</f>
        <v>0.74329387206920117</v>
      </c>
      <c r="AK59" s="23">
        <f>MAX(0,MIN(0.98,IF(AK57&gt;0,1-汇总对比与可视化看板!D37*AK13/AK57,0)))</f>
        <v>0.78509690342464422</v>
      </c>
      <c r="AL59" s="23">
        <f>MAX(0,MIN(0.98,IF(AL57&gt;0,1-汇总对比与可视化看板!D38*AL13/AL57,0)))</f>
        <v>0.83428369544993042</v>
      </c>
      <c r="AM59" s="23">
        <f>MAX(0,MIN(0.98,IF(AM57&gt;0,1-汇总对比与可视化看板!D39*AM13/AM57,0)))</f>
        <v>0.89333024226514268</v>
      </c>
    </row>
    <row r="60" spans="1:39" ht="17" customHeight="1">
      <c r="A60" s="5" t="s">
        <v>204</v>
      </c>
      <c r="B60" s="7" t="e">
        <f>工艺曲线×CCUS比例</f>
        <v>#NAME?</v>
      </c>
      <c r="C60" s="28">
        <f t="shared" ref="C60:AM60" si="27">C57*C59</f>
        <v>0</v>
      </c>
      <c r="D60" s="28">
        <f t="shared" si="27"/>
        <v>803.39355905961463</v>
      </c>
      <c r="E60" s="28">
        <f t="shared" si="27"/>
        <v>3473.6238412727339</v>
      </c>
      <c r="F60" s="28">
        <f t="shared" si="27"/>
        <v>5761.9194226136296</v>
      </c>
      <c r="G60" s="28">
        <f t="shared" si="27"/>
        <v>7853.5426255151606</v>
      </c>
      <c r="H60" s="28">
        <f t="shared" si="27"/>
        <v>9845.5412039772436</v>
      </c>
      <c r="I60" s="28">
        <f t="shared" si="27"/>
        <v>11740.962912000012</v>
      </c>
      <c r="J60" s="28">
        <f t="shared" si="27"/>
        <v>12775.663676803495</v>
      </c>
      <c r="K60" s="28">
        <f t="shared" si="27"/>
        <v>13610.128563405357</v>
      </c>
      <c r="L60" s="28">
        <f t="shared" si="27"/>
        <v>14252.368953860039</v>
      </c>
      <c r="M60" s="28">
        <f t="shared" si="27"/>
        <v>14710.396230221955</v>
      </c>
      <c r="N60" s="28">
        <f t="shared" si="27"/>
        <v>15074.221774545471</v>
      </c>
      <c r="O60" s="28">
        <f t="shared" si="27"/>
        <v>18054.174281207281</v>
      </c>
      <c r="P60" s="28">
        <f t="shared" si="27"/>
        <v>20848.791294163653</v>
      </c>
      <c r="Q60" s="28">
        <f t="shared" si="27"/>
        <v>23357.64275284364</v>
      </c>
      <c r="R60" s="28">
        <f t="shared" si="27"/>
        <v>25699.788540479985</v>
      </c>
      <c r="S60" s="28">
        <f t="shared" si="27"/>
        <v>27770.770279090921</v>
      </c>
      <c r="T60" s="28">
        <f t="shared" si="27"/>
        <v>29288.434154727249</v>
      </c>
      <c r="U60" s="28">
        <f t="shared" si="27"/>
        <v>30746.195122309116</v>
      </c>
      <c r="V60" s="28">
        <f t="shared" si="27"/>
        <v>32144.996160436378</v>
      </c>
      <c r="W60" s="28">
        <f t="shared" si="27"/>
        <v>33485.780247709103</v>
      </c>
      <c r="X60" s="28">
        <f t="shared" si="27"/>
        <v>34769.490362727258</v>
      </c>
      <c r="Y60" s="28">
        <f t="shared" si="27"/>
        <v>35997.069484090905</v>
      </c>
      <c r="Z60" s="28">
        <f t="shared" si="27"/>
        <v>37136.384091999993</v>
      </c>
      <c r="AA60" s="28">
        <f t="shared" si="27"/>
        <v>38223.94604036364</v>
      </c>
      <c r="AB60" s="28">
        <f t="shared" si="27"/>
        <v>39260.541144681833</v>
      </c>
      <c r="AC60" s="28">
        <f t="shared" si="27"/>
        <v>40246.955220454518</v>
      </c>
      <c r="AD60" s="28">
        <f t="shared" si="27"/>
        <v>38524.26121293327</v>
      </c>
      <c r="AE60" s="28">
        <f t="shared" si="27"/>
        <v>36923.110606746173</v>
      </c>
      <c r="AF60" s="28">
        <f t="shared" si="27"/>
        <v>35441.034212149243</v>
      </c>
      <c r="AG60" s="28">
        <f t="shared" si="27"/>
        <v>34075.562839398532</v>
      </c>
      <c r="AH60" s="28">
        <f t="shared" si="27"/>
        <v>32824.227298749982</v>
      </c>
      <c r="AI60" s="28">
        <f t="shared" si="27"/>
        <v>31684.558400459617</v>
      </c>
      <c r="AJ60" s="28">
        <f t="shared" si="27"/>
        <v>30608.383153835974</v>
      </c>
      <c r="AK60" s="28">
        <f t="shared" si="27"/>
        <v>29635.245755277079</v>
      </c>
      <c r="AL60" s="28">
        <f t="shared" si="27"/>
        <v>28713.753121141988</v>
      </c>
      <c r="AM60" s="28">
        <f t="shared" si="27"/>
        <v>27887.845345418173</v>
      </c>
    </row>
    <row r="61" spans="1:39">
      <c r="A61" s="40" t="s">
        <v>205</v>
      </c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6"/>
    </row>
    <row r="62" spans="1:39" ht="17" customHeight="1">
      <c r="A62" s="5" t="s">
        <v>52</v>
      </c>
      <c r="B62" s="7" t="e">
        <f>工艺曲线-CCUS</f>
        <v>#NAME?</v>
      </c>
      <c r="C62" s="28">
        <f t="shared" ref="C62:AM62" si="28">C57-C60</f>
        <v>195992.54955807273</v>
      </c>
      <c r="D62" s="28">
        <f t="shared" si="28"/>
        <v>187742.274</v>
      </c>
      <c r="E62" s="28">
        <f t="shared" si="28"/>
        <v>180762</v>
      </c>
      <c r="F62" s="28">
        <f t="shared" si="28"/>
        <v>174917.5</v>
      </c>
      <c r="G62" s="28">
        <f t="shared" si="28"/>
        <v>169260</v>
      </c>
      <c r="H62" s="28">
        <f t="shared" si="28"/>
        <v>163695.5</v>
      </c>
      <c r="I62" s="28">
        <f t="shared" si="28"/>
        <v>158224</v>
      </c>
      <c r="J62" s="28">
        <f t="shared" si="28"/>
        <v>152768</v>
      </c>
      <c r="K62" s="28">
        <f t="shared" si="28"/>
        <v>147403.20000000001</v>
      </c>
      <c r="L62" s="28">
        <f t="shared" si="28"/>
        <v>142129.60000000001</v>
      </c>
      <c r="M62" s="28">
        <f t="shared" si="28"/>
        <v>136947.19999999998</v>
      </c>
      <c r="N62" s="28">
        <f t="shared" si="28"/>
        <v>131774</v>
      </c>
      <c r="O62" s="28">
        <f t="shared" si="28"/>
        <v>123099.2</v>
      </c>
      <c r="P62" s="28">
        <f t="shared" si="28"/>
        <v>114632</v>
      </c>
      <c r="Q62" s="28">
        <f t="shared" si="28"/>
        <v>106373.4</v>
      </c>
      <c r="R62" s="28">
        <f t="shared" si="28"/>
        <v>98287.200000000012</v>
      </c>
      <c r="S62" s="28">
        <f t="shared" si="28"/>
        <v>90390</v>
      </c>
      <c r="T62" s="28">
        <f t="shared" si="28"/>
        <v>83850</v>
      </c>
      <c r="U62" s="28">
        <f t="shared" si="28"/>
        <v>77400</v>
      </c>
      <c r="V62" s="28">
        <f t="shared" si="28"/>
        <v>71040</v>
      </c>
      <c r="W62" s="28">
        <f t="shared" si="28"/>
        <v>64770</v>
      </c>
      <c r="X62" s="28">
        <f t="shared" si="28"/>
        <v>58590</v>
      </c>
      <c r="Y62" s="28">
        <f t="shared" si="28"/>
        <v>52499.999999999993</v>
      </c>
      <c r="Z62" s="28">
        <f t="shared" si="28"/>
        <v>46562.5</v>
      </c>
      <c r="AA62" s="28">
        <f t="shared" si="28"/>
        <v>40699.999999999993</v>
      </c>
      <c r="AB62" s="28">
        <f t="shared" si="28"/>
        <v>34912.5</v>
      </c>
      <c r="AC62" s="28">
        <f t="shared" si="28"/>
        <v>29200</v>
      </c>
      <c r="AD62" s="28">
        <f t="shared" si="28"/>
        <v>26389.5</v>
      </c>
      <c r="AE62" s="28">
        <f t="shared" si="28"/>
        <v>23628</v>
      </c>
      <c r="AF62" s="28">
        <f t="shared" si="28"/>
        <v>20915.5</v>
      </c>
      <c r="AG62" s="28">
        <f t="shared" si="28"/>
        <v>18252</v>
      </c>
      <c r="AH62" s="28">
        <f t="shared" si="28"/>
        <v>15637.5</v>
      </c>
      <c r="AI62" s="28">
        <f t="shared" si="28"/>
        <v>13072</v>
      </c>
      <c r="AJ62" s="28">
        <f t="shared" si="28"/>
        <v>10571</v>
      </c>
      <c r="AK62" s="28">
        <f t="shared" si="28"/>
        <v>8112</v>
      </c>
      <c r="AL62" s="28">
        <f t="shared" si="28"/>
        <v>5703.4999999999964</v>
      </c>
      <c r="AM62" s="28">
        <f t="shared" si="28"/>
        <v>3330</v>
      </c>
    </row>
    <row r="63" spans="1:39" ht="17" customHeight="1">
      <c r="A63" s="5" t="s">
        <v>56</v>
      </c>
      <c r="B63" s="7" t="e">
        <f>碳排放总量/粗钢产量</f>
        <v>#NAME?</v>
      </c>
      <c r="C63" s="29">
        <f t="shared" ref="C63:AM63" si="29">IF(C13&gt;0,C62/C13,0)</f>
        <v>1.9499999956031075</v>
      </c>
      <c r="D63" s="29">
        <f t="shared" si="29"/>
        <v>1.954</v>
      </c>
      <c r="E63" s="29">
        <f t="shared" si="29"/>
        <v>1.923</v>
      </c>
      <c r="F63" s="29">
        <f t="shared" si="29"/>
        <v>1.891</v>
      </c>
      <c r="G63" s="29">
        <f t="shared" si="29"/>
        <v>1.86</v>
      </c>
      <c r="H63" s="29">
        <f t="shared" si="29"/>
        <v>1.829</v>
      </c>
      <c r="I63" s="29">
        <f t="shared" si="29"/>
        <v>1.798</v>
      </c>
      <c r="J63" s="29">
        <f t="shared" si="29"/>
        <v>1.76</v>
      </c>
      <c r="K63" s="29">
        <f t="shared" si="29"/>
        <v>1.7220000000000002</v>
      </c>
      <c r="L63" s="29">
        <f t="shared" si="29"/>
        <v>1.6840000000000002</v>
      </c>
      <c r="M63" s="29">
        <f t="shared" si="29"/>
        <v>1.6459999999999997</v>
      </c>
      <c r="N63" s="29">
        <f t="shared" si="29"/>
        <v>1.607</v>
      </c>
      <c r="O63" s="29">
        <f t="shared" si="29"/>
        <v>1.516</v>
      </c>
      <c r="P63" s="29">
        <f t="shared" si="29"/>
        <v>1.4239999999999999</v>
      </c>
      <c r="Q63" s="29">
        <f t="shared" si="29"/>
        <v>1.333</v>
      </c>
      <c r="R63" s="29">
        <f t="shared" si="29"/>
        <v>1.2410000000000001</v>
      </c>
      <c r="S63" s="29">
        <f t="shared" si="29"/>
        <v>1.1499999999999999</v>
      </c>
      <c r="T63" s="29">
        <f t="shared" si="29"/>
        <v>1.075</v>
      </c>
      <c r="U63" s="29">
        <f t="shared" si="29"/>
        <v>1</v>
      </c>
      <c r="V63" s="29">
        <f t="shared" si="29"/>
        <v>0.92500000000000004</v>
      </c>
      <c r="W63" s="29">
        <f t="shared" si="29"/>
        <v>0.85</v>
      </c>
      <c r="X63" s="29">
        <f t="shared" si="29"/>
        <v>0.77500000000000002</v>
      </c>
      <c r="Y63" s="29">
        <f t="shared" si="29"/>
        <v>0.7</v>
      </c>
      <c r="Z63" s="29">
        <f t="shared" si="29"/>
        <v>0.625</v>
      </c>
      <c r="AA63" s="29">
        <f t="shared" si="29"/>
        <v>0.54999999999999993</v>
      </c>
      <c r="AB63" s="29">
        <f t="shared" si="29"/>
        <v>0.47499999999999998</v>
      </c>
      <c r="AC63" s="29">
        <f t="shared" si="29"/>
        <v>0.4</v>
      </c>
      <c r="AD63" s="29">
        <f t="shared" si="29"/>
        <v>0.36499999999999999</v>
      </c>
      <c r="AE63" s="29">
        <f t="shared" si="29"/>
        <v>0.33</v>
      </c>
      <c r="AF63" s="29">
        <f t="shared" si="29"/>
        <v>0.29499999999999998</v>
      </c>
      <c r="AG63" s="29">
        <f t="shared" si="29"/>
        <v>0.26</v>
      </c>
      <c r="AH63" s="29">
        <f t="shared" si="29"/>
        <v>0.22500000000000001</v>
      </c>
      <c r="AI63" s="29">
        <f t="shared" si="29"/>
        <v>0.19</v>
      </c>
      <c r="AJ63" s="29">
        <f t="shared" si="29"/>
        <v>0.155</v>
      </c>
      <c r="AK63" s="29">
        <f t="shared" si="29"/>
        <v>0.12</v>
      </c>
      <c r="AL63" s="29">
        <f t="shared" si="29"/>
        <v>8.4999999999999951E-2</v>
      </c>
      <c r="AM63" s="29">
        <f t="shared" si="29"/>
        <v>0.05</v>
      </c>
    </row>
    <row r="64" spans="1:39" ht="17" customHeight="1">
      <c r="A64" s="2" t="s">
        <v>206</v>
      </c>
      <c r="B64" s="7" t="e">
        <f>(当年-1.95)/1.95</f>
        <v>#NAME?</v>
      </c>
      <c r="C64" s="19">
        <f t="shared" ref="C64:AM64" si="30">(C63-1.95)/1.95</f>
        <v>-2.2548166183192291E-9</v>
      </c>
      <c r="D64" s="19">
        <f t="shared" si="30"/>
        <v>2.051282051282053E-3</v>
      </c>
      <c r="E64" s="19">
        <f t="shared" si="30"/>
        <v>-1.3846153846153801E-2</v>
      </c>
      <c r="F64" s="19">
        <f t="shared" si="30"/>
        <v>-3.0256410256410227E-2</v>
      </c>
      <c r="G64" s="19">
        <f t="shared" si="30"/>
        <v>-4.615384615384608E-2</v>
      </c>
      <c r="H64" s="19">
        <f t="shared" si="30"/>
        <v>-6.2051282051282054E-2</v>
      </c>
      <c r="I64" s="19">
        <f t="shared" si="30"/>
        <v>-7.794871794871791E-2</v>
      </c>
      <c r="J64" s="19">
        <f t="shared" si="30"/>
        <v>-9.7435897435897409E-2</v>
      </c>
      <c r="K64" s="19">
        <f t="shared" si="30"/>
        <v>-0.1169230769230768</v>
      </c>
      <c r="L64" s="19">
        <f t="shared" si="30"/>
        <v>-0.13641025641025631</v>
      </c>
      <c r="M64" s="19">
        <f t="shared" si="30"/>
        <v>-0.15589743589743604</v>
      </c>
      <c r="N64" s="19">
        <f t="shared" si="30"/>
        <v>-0.17589743589743589</v>
      </c>
      <c r="O64" s="19">
        <f t="shared" si="30"/>
        <v>-0.22256410256410253</v>
      </c>
      <c r="P64" s="19">
        <f t="shared" si="30"/>
        <v>-0.26974358974358975</v>
      </c>
      <c r="Q64" s="19">
        <f t="shared" si="30"/>
        <v>-0.31641025641025644</v>
      </c>
      <c r="R64" s="19">
        <f t="shared" si="30"/>
        <v>-0.3635897435897435</v>
      </c>
      <c r="S64" s="19">
        <f t="shared" si="30"/>
        <v>-0.4102564102564103</v>
      </c>
      <c r="T64" s="19">
        <f t="shared" si="30"/>
        <v>-0.44871794871794873</v>
      </c>
      <c r="U64" s="19">
        <f t="shared" si="30"/>
        <v>-0.48717948717948717</v>
      </c>
      <c r="V64" s="19">
        <f t="shared" si="30"/>
        <v>-0.52564102564102566</v>
      </c>
      <c r="W64" s="19">
        <f t="shared" si="30"/>
        <v>-0.56410256410256421</v>
      </c>
      <c r="X64" s="19">
        <f t="shared" si="30"/>
        <v>-0.60256410256410253</v>
      </c>
      <c r="Y64" s="19">
        <f t="shared" si="30"/>
        <v>-0.64102564102564108</v>
      </c>
      <c r="Z64" s="19">
        <f t="shared" si="30"/>
        <v>-0.67948717948717952</v>
      </c>
      <c r="AA64" s="19">
        <f t="shared" si="30"/>
        <v>-0.71794871794871795</v>
      </c>
      <c r="AB64" s="19">
        <f t="shared" si="30"/>
        <v>-0.7564102564102565</v>
      </c>
      <c r="AC64" s="19">
        <f t="shared" si="30"/>
        <v>-0.79487179487179482</v>
      </c>
      <c r="AD64" s="19">
        <f t="shared" si="30"/>
        <v>-0.81282051282051282</v>
      </c>
      <c r="AE64" s="19">
        <f t="shared" si="30"/>
        <v>-0.8307692307692307</v>
      </c>
      <c r="AF64" s="19">
        <f t="shared" si="30"/>
        <v>-0.8487179487179487</v>
      </c>
      <c r="AG64" s="19">
        <f t="shared" si="30"/>
        <v>-0.8666666666666667</v>
      </c>
      <c r="AH64" s="19">
        <f t="shared" si="30"/>
        <v>-0.88461538461538458</v>
      </c>
      <c r="AI64" s="19">
        <f t="shared" si="30"/>
        <v>-0.90256410256410258</v>
      </c>
      <c r="AJ64" s="19">
        <f t="shared" si="30"/>
        <v>-0.92051282051282046</v>
      </c>
      <c r="AK64" s="19">
        <f t="shared" si="30"/>
        <v>-0.93846153846153857</v>
      </c>
      <c r="AL64" s="19">
        <f t="shared" si="30"/>
        <v>-0.95641025641025645</v>
      </c>
      <c r="AM64" s="19">
        <f t="shared" si="30"/>
        <v>-0.97435897435897434</v>
      </c>
    </row>
    <row r="65" spans="1:39" ht="17" customHeight="1">
      <c r="A65" s="2" t="s">
        <v>207</v>
      </c>
      <c r="B65" s="7" t="e">
        <f>碳排放/(全国排放×10000)</f>
        <v>#NAME?</v>
      </c>
      <c r="C65" s="19">
        <f t="shared" ref="C65:AM65" si="31">C62/(C9*10000)</f>
        <v>0.18403056296532649</v>
      </c>
      <c r="D65" s="19">
        <f t="shared" si="31"/>
        <v>0.17383543888888889</v>
      </c>
      <c r="E65" s="19">
        <f t="shared" si="31"/>
        <v>0.1643290909090909</v>
      </c>
      <c r="F65" s="19">
        <f t="shared" si="31"/>
        <v>0.15617633928571428</v>
      </c>
      <c r="G65" s="19">
        <f t="shared" si="31"/>
        <v>0.14718260869565217</v>
      </c>
      <c r="H65" s="19">
        <f t="shared" si="31"/>
        <v>0.13991068376068377</v>
      </c>
      <c r="I65" s="19">
        <f t="shared" si="31"/>
        <v>0.13408813559322033</v>
      </c>
      <c r="J65" s="19">
        <f t="shared" si="31"/>
        <v>0.13057094017094018</v>
      </c>
      <c r="K65" s="19">
        <f t="shared" si="31"/>
        <v>0.1276218181818182</v>
      </c>
      <c r="L65" s="19">
        <f t="shared" si="31"/>
        <v>0.12522431718061675</v>
      </c>
      <c r="M65" s="19">
        <f t="shared" si="31"/>
        <v>0.12337585585585584</v>
      </c>
      <c r="N65" s="19">
        <f t="shared" si="31"/>
        <v>0.12089357798165137</v>
      </c>
      <c r="O65" s="19">
        <f t="shared" si="31"/>
        <v>0.11558610328638497</v>
      </c>
      <c r="P65" s="19">
        <f t="shared" si="31"/>
        <v>0.11075555555555555</v>
      </c>
      <c r="Q65" s="19">
        <f t="shared" si="31"/>
        <v>0.10637339999999999</v>
      </c>
      <c r="R65" s="19">
        <f t="shared" si="31"/>
        <v>0.10238250000000002</v>
      </c>
      <c r="S65" s="19">
        <f t="shared" si="31"/>
        <v>9.8250000000000004E-2</v>
      </c>
      <c r="T65" s="19">
        <f t="shared" si="31"/>
        <v>9.582857142857143E-2</v>
      </c>
      <c r="U65" s="19">
        <f t="shared" si="31"/>
        <v>9.3253012048192765E-2</v>
      </c>
      <c r="V65" s="19">
        <f t="shared" si="31"/>
        <v>9.0496815286624205E-2</v>
      </c>
      <c r="W65" s="19">
        <f t="shared" si="31"/>
        <v>8.7527027027027027E-2</v>
      </c>
      <c r="X65" s="19">
        <f t="shared" si="31"/>
        <v>8.4302158273381292E-2</v>
      </c>
      <c r="Y65" s="19">
        <f t="shared" si="31"/>
        <v>8.076923076923076E-2</v>
      </c>
      <c r="Z65" s="19">
        <f t="shared" si="31"/>
        <v>7.6962809917355365E-2</v>
      </c>
      <c r="AA65" s="19">
        <f t="shared" si="31"/>
        <v>7.2678571428571412E-2</v>
      </c>
      <c r="AB65" s="19">
        <f t="shared" si="31"/>
        <v>6.7791262135922334E-2</v>
      </c>
      <c r="AC65" s="19">
        <f t="shared" si="31"/>
        <v>6.2127659574468086E-2</v>
      </c>
      <c r="AD65" s="19">
        <f t="shared" si="31"/>
        <v>6.1370930232558137E-2</v>
      </c>
      <c r="AE65" s="19">
        <f t="shared" si="31"/>
        <v>6.0584615384615383E-2</v>
      </c>
      <c r="AF65" s="19">
        <f t="shared" si="31"/>
        <v>5.8916901408450705E-2</v>
      </c>
      <c r="AG65" s="19">
        <f t="shared" si="31"/>
        <v>5.7037499999999998E-2</v>
      </c>
      <c r="AH65" s="19">
        <f t="shared" si="31"/>
        <v>5.3922413793103446E-2</v>
      </c>
      <c r="AI65" s="19">
        <f t="shared" si="31"/>
        <v>4.932830188679245E-2</v>
      </c>
      <c r="AJ65" s="19">
        <f t="shared" si="31"/>
        <v>4.3146938775510207E-2</v>
      </c>
      <c r="AK65" s="19">
        <f t="shared" si="31"/>
        <v>3.5269565217391302E-2</v>
      </c>
      <c r="AL65" s="19">
        <f t="shared" si="31"/>
        <v>2.5924999999999983E-2</v>
      </c>
      <c r="AM65" s="19">
        <f t="shared" si="31"/>
        <v>1.5857142857142858E-2</v>
      </c>
    </row>
  </sheetData>
  <mergeCells count="20">
    <mergeCell ref="A1:J1"/>
    <mergeCell ref="A5:AM5"/>
    <mergeCell ref="AP11:AQ11"/>
    <mergeCell ref="A43:AM43"/>
    <mergeCell ref="A52:AM52"/>
    <mergeCell ref="A34:AM34"/>
    <mergeCell ref="A40:AM40"/>
    <mergeCell ref="AP25:AQ25"/>
    <mergeCell ref="A30:AM30"/>
    <mergeCell ref="A39:AM39"/>
    <mergeCell ref="A2:J2"/>
    <mergeCell ref="A49:AM49"/>
    <mergeCell ref="AP4:AQ4"/>
    <mergeCell ref="A61:AM61"/>
    <mergeCell ref="A46:AM46"/>
    <mergeCell ref="A12:AM12"/>
    <mergeCell ref="A21:AM21"/>
    <mergeCell ref="A55:AM55"/>
    <mergeCell ref="A14:AM14"/>
    <mergeCell ref="A58:AM58"/>
  </mergeCells>
  <phoneticPr fontId="9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A1:AQ65"/>
  <sheetViews>
    <sheetView tabSelected="1" workbookViewId="0">
      <selection activeCell="N42" sqref="N42"/>
    </sheetView>
  </sheetViews>
  <sheetFormatPr baseColWidth="10" defaultColWidth="9" defaultRowHeight="14"/>
  <cols>
    <col min="1" max="1" width="35" customWidth="1"/>
    <col min="2" max="2" width="28" customWidth="1"/>
    <col min="3" max="39" width="14" customWidth="1"/>
    <col min="42" max="42" width="28" customWidth="1"/>
    <col min="43" max="43" width="16" customWidth="1"/>
  </cols>
  <sheetData>
    <row r="1" spans="1:43" ht="20.5" customHeight="1">
      <c r="A1" s="38" t="s">
        <v>209</v>
      </c>
      <c r="B1" s="35"/>
      <c r="C1" s="35"/>
      <c r="D1" s="35"/>
      <c r="E1" s="35"/>
      <c r="F1" s="35"/>
      <c r="G1" s="35"/>
      <c r="H1" s="35"/>
      <c r="I1" s="35"/>
      <c r="J1" s="36"/>
    </row>
    <row r="2" spans="1:43">
      <c r="A2" s="39" t="s">
        <v>108</v>
      </c>
      <c r="B2" s="35"/>
      <c r="C2" s="35"/>
      <c r="D2" s="35"/>
      <c r="E2" s="35"/>
      <c r="F2" s="35"/>
      <c r="G2" s="35"/>
      <c r="H2" s="35"/>
      <c r="I2" s="35"/>
      <c r="J2" s="36"/>
    </row>
    <row r="4" spans="1:43" ht="17" customHeight="1">
      <c r="A4" s="1" t="s">
        <v>15</v>
      </c>
      <c r="B4" s="1" t="s">
        <v>109</v>
      </c>
      <c r="C4" s="1">
        <v>2024</v>
      </c>
      <c r="D4" s="1">
        <v>2025</v>
      </c>
      <c r="E4" s="1">
        <v>2026</v>
      </c>
      <c r="F4" s="1">
        <v>2027</v>
      </c>
      <c r="G4" s="1">
        <v>2028</v>
      </c>
      <c r="H4" s="1">
        <v>2029</v>
      </c>
      <c r="I4" s="1">
        <v>2030</v>
      </c>
      <c r="J4" s="1">
        <v>2031</v>
      </c>
      <c r="K4" s="1">
        <v>2032</v>
      </c>
      <c r="L4" s="1">
        <v>2033</v>
      </c>
      <c r="M4" s="1">
        <v>2034</v>
      </c>
      <c r="N4" s="1">
        <v>2035</v>
      </c>
      <c r="O4" s="1">
        <v>2036</v>
      </c>
      <c r="P4" s="1">
        <v>2037</v>
      </c>
      <c r="Q4" s="1">
        <v>2038</v>
      </c>
      <c r="R4" s="1">
        <v>2039</v>
      </c>
      <c r="S4" s="1">
        <v>2040</v>
      </c>
      <c r="T4" s="1">
        <v>2041</v>
      </c>
      <c r="U4" s="1">
        <v>2042</v>
      </c>
      <c r="V4" s="1">
        <v>2043</v>
      </c>
      <c r="W4" s="1">
        <v>2044</v>
      </c>
      <c r="X4" s="1">
        <v>2045</v>
      </c>
      <c r="Y4" s="1">
        <v>2046</v>
      </c>
      <c r="Z4" s="1">
        <v>2047</v>
      </c>
      <c r="AA4" s="1">
        <v>2048</v>
      </c>
      <c r="AB4" s="1">
        <v>2049</v>
      </c>
      <c r="AC4" s="1">
        <v>2050</v>
      </c>
      <c r="AD4" s="1">
        <v>2051</v>
      </c>
      <c r="AE4" s="1">
        <v>2052</v>
      </c>
      <c r="AF4" s="1">
        <v>2053</v>
      </c>
      <c r="AG4" s="1">
        <v>2054</v>
      </c>
      <c r="AH4" s="1">
        <v>2055</v>
      </c>
      <c r="AI4" s="1">
        <v>2056</v>
      </c>
      <c r="AJ4" s="1">
        <v>2057</v>
      </c>
      <c r="AK4" s="1">
        <v>2058</v>
      </c>
      <c r="AL4" s="1">
        <v>2059</v>
      </c>
      <c r="AM4" s="1">
        <v>2060</v>
      </c>
      <c r="AP4" s="41" t="s">
        <v>110</v>
      </c>
      <c r="AQ4" s="36"/>
    </row>
    <row r="5" spans="1:43" ht="17.5" customHeight="1">
      <c r="A5" s="34" t="s">
        <v>111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6"/>
      <c r="AP5" s="1" t="s">
        <v>112</v>
      </c>
      <c r="AQ5" s="1" t="s">
        <v>113</v>
      </c>
    </row>
    <row r="6" spans="1:43" ht="17" customHeight="1">
      <c r="A6" s="14" t="s">
        <v>114</v>
      </c>
      <c r="B6" s="7" t="s">
        <v>115</v>
      </c>
      <c r="C6" s="15">
        <v>4.9000000000000004</v>
      </c>
      <c r="D6" s="15">
        <v>4.5</v>
      </c>
      <c r="E6" s="15">
        <v>4.3</v>
      </c>
      <c r="F6" s="15">
        <v>4.0999999999999996</v>
      </c>
      <c r="G6" s="15">
        <v>3.9</v>
      </c>
      <c r="H6" s="15">
        <v>3.7</v>
      </c>
      <c r="I6" s="15">
        <v>3.5</v>
      </c>
      <c r="J6" s="15">
        <v>3.3</v>
      </c>
      <c r="K6" s="15">
        <v>3.1</v>
      </c>
      <c r="L6" s="15">
        <v>3</v>
      </c>
      <c r="M6" s="15">
        <v>2.8</v>
      </c>
      <c r="N6" s="15">
        <v>2.7</v>
      </c>
      <c r="O6" s="15">
        <v>2.5</v>
      </c>
      <c r="P6" s="15">
        <v>2.4</v>
      </c>
      <c r="Q6" s="15">
        <v>2.2000000000000002</v>
      </c>
      <c r="R6" s="15">
        <v>2.1</v>
      </c>
      <c r="S6" s="15">
        <v>2</v>
      </c>
      <c r="T6" s="15">
        <v>1.8</v>
      </c>
      <c r="U6" s="15">
        <v>1.7</v>
      </c>
      <c r="V6" s="15">
        <v>1.6</v>
      </c>
      <c r="W6" s="15">
        <v>1.5</v>
      </c>
      <c r="X6" s="15">
        <v>1.5</v>
      </c>
      <c r="Y6" s="15">
        <v>1.3</v>
      </c>
      <c r="Z6" s="15">
        <v>1.2</v>
      </c>
      <c r="AA6" s="15">
        <v>1.1000000000000001</v>
      </c>
      <c r="AB6" s="15">
        <v>1</v>
      </c>
      <c r="AC6" s="15">
        <v>1</v>
      </c>
      <c r="AD6" s="15">
        <v>0.8</v>
      </c>
      <c r="AE6" s="15">
        <v>0.7</v>
      </c>
      <c r="AF6" s="15">
        <v>0.6</v>
      </c>
      <c r="AG6" s="15">
        <v>0.6</v>
      </c>
      <c r="AH6" s="15">
        <v>0.5</v>
      </c>
      <c r="AI6" s="15">
        <v>0.4</v>
      </c>
      <c r="AJ6" s="15">
        <v>0.4</v>
      </c>
      <c r="AK6" s="15">
        <v>0.3</v>
      </c>
      <c r="AL6" s="15">
        <v>0.3</v>
      </c>
      <c r="AM6" s="15">
        <v>0.2</v>
      </c>
      <c r="AP6" s="3" t="s">
        <v>44</v>
      </c>
      <c r="AQ6" s="30" t="s">
        <v>45</v>
      </c>
    </row>
    <row r="7" spans="1:43" ht="17" customHeight="1">
      <c r="A7" s="14" t="s">
        <v>116</v>
      </c>
      <c r="B7" s="7" t="s">
        <v>117</v>
      </c>
      <c r="C7" s="16">
        <v>124.92</v>
      </c>
      <c r="D7" s="16">
        <v>130.54</v>
      </c>
      <c r="E7" s="16">
        <v>135.627666872074</v>
      </c>
      <c r="F7" s="16">
        <v>140.91362050836801</v>
      </c>
      <c r="G7" s="16">
        <v>146.40558893861501</v>
      </c>
      <c r="H7" s="16">
        <v>152.11160138483399</v>
      </c>
      <c r="I7" s="16">
        <v>158.04</v>
      </c>
      <c r="J7" s="16">
        <v>162.74890406345801</v>
      </c>
      <c r="K7" s="16">
        <v>167.59811297049299</v>
      </c>
      <c r="L7" s="16">
        <v>172.59180719470601</v>
      </c>
      <c r="M7" s="16">
        <v>177.73429176961599</v>
      </c>
      <c r="N7" s="16">
        <v>183.03</v>
      </c>
      <c r="O7" s="16">
        <v>187.13014028519899</v>
      </c>
      <c r="P7" s="16">
        <v>191.32212972276901</v>
      </c>
      <c r="Q7" s="16">
        <v>195.60802586835399</v>
      </c>
      <c r="R7" s="16">
        <v>199.989932369863</v>
      </c>
      <c r="S7" s="16">
        <v>204.47</v>
      </c>
      <c r="T7" s="16">
        <v>207.27265600972399</v>
      </c>
      <c r="U7" s="16">
        <v>210.113727829635</v>
      </c>
      <c r="V7" s="16">
        <v>212.99374202255899</v>
      </c>
      <c r="W7" s="16">
        <v>215.913232368884</v>
      </c>
      <c r="X7" s="16">
        <v>218.87273996548799</v>
      </c>
      <c r="Y7" s="16">
        <v>221.87281332602501</v>
      </c>
      <c r="Z7" s="16">
        <v>224.914008482589</v>
      </c>
      <c r="AA7" s="16">
        <v>227.99688908876499</v>
      </c>
      <c r="AB7" s="16">
        <v>231.12202652409999</v>
      </c>
      <c r="AC7" s="16">
        <v>234.29</v>
      </c>
      <c r="AD7" s="16">
        <v>235.41536136498999</v>
      </c>
      <c r="AE7" s="16">
        <v>236.546128160009</v>
      </c>
      <c r="AF7" s="16">
        <v>237.682326348874</v>
      </c>
      <c r="AG7" s="16">
        <v>238.82398202011001</v>
      </c>
      <c r="AH7" s="16">
        <v>239.97112138755401</v>
      </c>
      <c r="AI7" s="16">
        <v>241.12377079095401</v>
      </c>
      <c r="AJ7" s="16">
        <v>242.28195669657899</v>
      </c>
      <c r="AK7" s="16">
        <v>243.445705697818</v>
      </c>
      <c r="AL7" s="16">
        <v>244.61504451580001</v>
      </c>
      <c r="AM7" s="16">
        <v>245.79</v>
      </c>
      <c r="AP7" s="3" t="s">
        <v>48</v>
      </c>
      <c r="AQ7" s="30" t="s">
        <v>49</v>
      </c>
    </row>
    <row r="8" spans="1:43" ht="17" customHeight="1">
      <c r="A8" s="14" t="s">
        <v>118</v>
      </c>
      <c r="B8" s="7" t="s">
        <v>119</v>
      </c>
      <c r="C8" s="16">
        <v>14.08</v>
      </c>
      <c r="D8" s="16">
        <v>14.08</v>
      </c>
      <c r="E8" s="16">
        <v>14.0539034418663</v>
      </c>
      <c r="F8" s="16">
        <v>14.0278552523652</v>
      </c>
      <c r="G8" s="16">
        <v>14.0018553418479</v>
      </c>
      <c r="H8" s="16">
        <v>13.975903620831801</v>
      </c>
      <c r="I8" s="16">
        <v>13.95</v>
      </c>
      <c r="J8" s="16">
        <v>13.9097686160443</v>
      </c>
      <c r="K8" s="16">
        <v>13.8696532582</v>
      </c>
      <c r="L8" s="16">
        <v>13.8296535918514</v>
      </c>
      <c r="M8" s="16">
        <v>13.789769283347599</v>
      </c>
      <c r="N8" s="16">
        <v>13.75</v>
      </c>
      <c r="O8" s="16">
        <v>13.6996323454979</v>
      </c>
      <c r="P8" s="16">
        <v>13.6494491928591</v>
      </c>
      <c r="Q8" s="16">
        <v>13.5994498662344</v>
      </c>
      <c r="R8" s="16">
        <v>13.5496336922503</v>
      </c>
      <c r="S8" s="16">
        <v>13.5</v>
      </c>
      <c r="T8" s="16">
        <v>13.434592209784</v>
      </c>
      <c r="U8" s="16">
        <v>13.3695013217176</v>
      </c>
      <c r="V8" s="16">
        <v>13.3047258004033</v>
      </c>
      <c r="W8" s="16">
        <v>13.2402641178822</v>
      </c>
      <c r="X8" s="16">
        <v>13.1761147535987</v>
      </c>
      <c r="Y8" s="16">
        <v>13.1122761943641</v>
      </c>
      <c r="Z8" s="16">
        <v>13.0487469343215</v>
      </c>
      <c r="AA8" s="16">
        <v>12.985525474909499</v>
      </c>
      <c r="AB8" s="16">
        <v>12.922610324827399</v>
      </c>
      <c r="AC8" s="16">
        <v>12.86</v>
      </c>
      <c r="AD8" s="16">
        <v>12.782955764494099</v>
      </c>
      <c r="AE8" s="16">
        <v>12.7063731008563</v>
      </c>
      <c r="AF8" s="16">
        <v>12.6302492438105</v>
      </c>
      <c r="AG8" s="16">
        <v>12.554581444647299</v>
      </c>
      <c r="AH8" s="16">
        <v>12.479366971124801</v>
      </c>
      <c r="AI8" s="16">
        <v>12.4046031073698</v>
      </c>
      <c r="AJ8" s="16">
        <v>12.330287153780301</v>
      </c>
      <c r="AK8" s="16">
        <v>12.2564164269271</v>
      </c>
      <c r="AL8" s="16">
        <v>12.182988259457799</v>
      </c>
      <c r="AM8" s="16">
        <v>12.11</v>
      </c>
      <c r="AP8" s="3" t="s">
        <v>52</v>
      </c>
      <c r="AQ8" s="30" t="s">
        <v>53</v>
      </c>
    </row>
    <row r="9" spans="1:43" ht="17" customHeight="1">
      <c r="A9" s="14" t="s">
        <v>120</v>
      </c>
      <c r="B9" s="7" t="s">
        <v>121</v>
      </c>
      <c r="C9" s="16">
        <v>106.5</v>
      </c>
      <c r="D9" s="16">
        <v>108</v>
      </c>
      <c r="E9" s="16">
        <v>110</v>
      </c>
      <c r="F9" s="16">
        <v>112</v>
      </c>
      <c r="G9" s="16">
        <v>115</v>
      </c>
      <c r="H9" s="16">
        <v>117</v>
      </c>
      <c r="I9" s="16">
        <v>118</v>
      </c>
      <c r="J9" s="16">
        <v>117</v>
      </c>
      <c r="K9" s="16">
        <v>115.5</v>
      </c>
      <c r="L9" s="16">
        <v>113.5</v>
      </c>
      <c r="M9" s="16">
        <v>111</v>
      </c>
      <c r="N9" s="16">
        <v>109</v>
      </c>
      <c r="O9" s="16">
        <v>106.5</v>
      </c>
      <c r="P9" s="16">
        <v>103.5</v>
      </c>
      <c r="Q9" s="16">
        <v>100</v>
      </c>
      <c r="R9" s="16">
        <v>96</v>
      </c>
      <c r="S9" s="16">
        <v>92</v>
      </c>
      <c r="T9" s="16">
        <v>87.5</v>
      </c>
      <c r="U9" s="16">
        <v>83</v>
      </c>
      <c r="V9" s="16">
        <v>78.5</v>
      </c>
      <c r="W9" s="16">
        <v>74</v>
      </c>
      <c r="X9" s="16">
        <v>69.5</v>
      </c>
      <c r="Y9" s="16">
        <v>65</v>
      </c>
      <c r="Z9" s="16">
        <v>60.5</v>
      </c>
      <c r="AA9" s="16">
        <v>56</v>
      </c>
      <c r="AB9" s="16">
        <v>51.5</v>
      </c>
      <c r="AC9" s="16">
        <v>47</v>
      </c>
      <c r="AD9" s="16">
        <v>43</v>
      </c>
      <c r="AE9" s="16">
        <v>39</v>
      </c>
      <c r="AF9" s="16">
        <v>35.5</v>
      </c>
      <c r="AG9" s="16">
        <v>32</v>
      </c>
      <c r="AH9" s="16">
        <v>29</v>
      </c>
      <c r="AI9" s="16">
        <v>26.5</v>
      </c>
      <c r="AJ9" s="16">
        <v>24.5</v>
      </c>
      <c r="AK9" s="16">
        <v>23</v>
      </c>
      <c r="AL9" s="16">
        <v>22</v>
      </c>
      <c r="AM9" s="16">
        <v>21</v>
      </c>
      <c r="AP9" s="3" t="s">
        <v>56</v>
      </c>
      <c r="AQ9" s="30" t="s">
        <v>57</v>
      </c>
    </row>
    <row r="10" spans="1:43" ht="28" customHeight="1">
      <c r="A10" s="14" t="s">
        <v>122</v>
      </c>
      <c r="B10" s="7" t="s">
        <v>123</v>
      </c>
      <c r="C10" s="17">
        <v>1.85</v>
      </c>
      <c r="D10" s="17">
        <v>1.8851500000000001</v>
      </c>
      <c r="E10" s="17">
        <v>1.87572425</v>
      </c>
      <c r="F10" s="17">
        <v>1.8607184560000001</v>
      </c>
      <c r="G10" s="17">
        <v>1.8421112714400001</v>
      </c>
      <c r="H10" s="17">
        <v>1.8200059361827201</v>
      </c>
      <c r="I10" s="17">
        <v>1.7927058471399799</v>
      </c>
      <c r="J10" s="17">
        <v>1.76581525943288</v>
      </c>
      <c r="K10" s="17">
        <v>1.7393280305413901</v>
      </c>
      <c r="L10" s="17">
        <v>1.7132381100832601</v>
      </c>
      <c r="M10" s="17">
        <v>1.68753953843202</v>
      </c>
      <c r="N10" s="17">
        <v>1.66222644535554</v>
      </c>
      <c r="O10" s="17">
        <v>1.64227972801127</v>
      </c>
      <c r="P10" s="17">
        <v>1.6225723712751301</v>
      </c>
      <c r="Q10" s="17">
        <v>1.6031015028198301</v>
      </c>
      <c r="R10" s="17">
        <v>1.5838642847859901</v>
      </c>
      <c r="S10" s="17">
        <v>1.56802564193814</v>
      </c>
      <c r="T10" s="17">
        <v>1.5523453855187499</v>
      </c>
      <c r="U10" s="17">
        <v>1.5368219316635701</v>
      </c>
      <c r="V10" s="17">
        <v>1.5214537123469301</v>
      </c>
      <c r="W10" s="17">
        <v>1.5092820826481499</v>
      </c>
      <c r="X10" s="17">
        <v>1.4972078259869701</v>
      </c>
      <c r="Y10" s="17">
        <v>1.4852301633790701</v>
      </c>
      <c r="Z10" s="17">
        <v>1.47334832207204</v>
      </c>
      <c r="AA10" s="17">
        <v>1.4645082321396099</v>
      </c>
      <c r="AB10" s="17">
        <v>1.45572118274677</v>
      </c>
      <c r="AC10" s="17">
        <v>1.4469868556502901</v>
      </c>
      <c r="AD10" s="17">
        <v>1.43975192137204</v>
      </c>
      <c r="AE10" s="17">
        <v>1.4325531617651801</v>
      </c>
      <c r="AF10" s="17">
        <v>1.4253903959563501</v>
      </c>
      <c r="AG10" s="17">
        <v>1.41826344397657</v>
      </c>
      <c r="AH10" s="17">
        <v>1.41259039020066</v>
      </c>
      <c r="AI10" s="17">
        <v>1.4069400286398599</v>
      </c>
      <c r="AJ10" s="17">
        <v>1.4013122685253001</v>
      </c>
      <c r="AK10" s="17">
        <v>1.3971083317197299</v>
      </c>
      <c r="AL10" s="17">
        <v>1.39291700672457</v>
      </c>
      <c r="AM10" s="17">
        <v>1.3887382557043899</v>
      </c>
    </row>
    <row r="11" spans="1:43" ht="17" customHeight="1">
      <c r="A11" s="2" t="s">
        <v>124</v>
      </c>
      <c r="B11" s="7" t="s">
        <v>125</v>
      </c>
      <c r="C11" s="15">
        <v>0</v>
      </c>
      <c r="D11" s="15">
        <v>1.9</v>
      </c>
      <c r="E11" s="15">
        <v>-0.5</v>
      </c>
      <c r="F11" s="15">
        <v>-0.8</v>
      </c>
      <c r="G11" s="15">
        <v>-1</v>
      </c>
      <c r="H11" s="15">
        <v>-1.2</v>
      </c>
      <c r="I11" s="15">
        <v>-1.5</v>
      </c>
      <c r="J11" s="15">
        <v>-1.5</v>
      </c>
      <c r="K11" s="15">
        <v>-1.5</v>
      </c>
      <c r="L11" s="15">
        <v>-1.5</v>
      </c>
      <c r="M11" s="15">
        <v>-1.5</v>
      </c>
      <c r="N11" s="15">
        <v>-1.5</v>
      </c>
      <c r="O11" s="15">
        <v>-1.2</v>
      </c>
      <c r="P11" s="15">
        <v>-1.2</v>
      </c>
      <c r="Q11" s="15">
        <v>-1.2</v>
      </c>
      <c r="R11" s="15">
        <v>-1.2</v>
      </c>
      <c r="S11" s="15">
        <v>-1</v>
      </c>
      <c r="T11" s="15">
        <v>-1</v>
      </c>
      <c r="U11" s="15">
        <v>-1</v>
      </c>
      <c r="V11" s="15">
        <v>-1</v>
      </c>
      <c r="W11" s="15">
        <v>-0.8</v>
      </c>
      <c r="X11" s="15">
        <v>-0.8</v>
      </c>
      <c r="Y11" s="15">
        <v>-0.8</v>
      </c>
      <c r="Z11" s="15">
        <v>-0.8</v>
      </c>
      <c r="AA11" s="15">
        <v>-0.6</v>
      </c>
      <c r="AB11" s="15">
        <v>-0.6</v>
      </c>
      <c r="AC11" s="15">
        <v>-0.6</v>
      </c>
      <c r="AD11" s="15">
        <v>-0.5</v>
      </c>
      <c r="AE11" s="15">
        <v>-0.5</v>
      </c>
      <c r="AF11" s="15">
        <v>-0.5</v>
      </c>
      <c r="AG11" s="15">
        <v>-0.5</v>
      </c>
      <c r="AH11" s="15">
        <v>-0.4</v>
      </c>
      <c r="AI11" s="15">
        <v>-0.4</v>
      </c>
      <c r="AJ11" s="15">
        <v>-0.4</v>
      </c>
      <c r="AK11" s="15">
        <v>-0.3</v>
      </c>
      <c r="AL11" s="15">
        <v>-0.3</v>
      </c>
      <c r="AM11" s="15">
        <v>-0.3</v>
      </c>
      <c r="AP11" s="40" t="s">
        <v>126</v>
      </c>
      <c r="AQ11" s="36"/>
    </row>
    <row r="12" spans="1:43" ht="17.5" customHeight="1">
      <c r="A12" s="34" t="s">
        <v>127</v>
      </c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6"/>
      <c r="AP12" s="3" t="s">
        <v>60</v>
      </c>
      <c r="AQ12" s="30" t="s">
        <v>61</v>
      </c>
    </row>
    <row r="13" spans="1:43" ht="17" customHeight="1">
      <c r="A13" s="14" t="s">
        <v>48</v>
      </c>
      <c r="B13" s="7" t="s">
        <v>128</v>
      </c>
      <c r="C13" s="18">
        <v>100509</v>
      </c>
      <c r="D13" s="18">
        <v>96081</v>
      </c>
      <c r="E13" s="18">
        <v>95000</v>
      </c>
      <c r="F13" s="18">
        <v>94000</v>
      </c>
      <c r="G13" s="18">
        <v>93000</v>
      </c>
      <c r="H13" s="18">
        <v>92000</v>
      </c>
      <c r="I13" s="18">
        <v>91000</v>
      </c>
      <c r="J13" s="18">
        <v>90000</v>
      </c>
      <c r="K13" s="18">
        <v>89000</v>
      </c>
      <c r="L13" s="18">
        <v>87800</v>
      </c>
      <c r="M13" s="18">
        <v>86600</v>
      </c>
      <c r="N13" s="18">
        <v>85500</v>
      </c>
      <c r="O13" s="18">
        <v>84800</v>
      </c>
      <c r="P13" s="18">
        <v>84200</v>
      </c>
      <c r="Q13" s="18">
        <v>83600</v>
      </c>
      <c r="R13" s="18">
        <v>83100</v>
      </c>
      <c r="S13" s="18">
        <v>82600</v>
      </c>
      <c r="T13" s="18">
        <v>82200</v>
      </c>
      <c r="U13" s="18">
        <v>81800</v>
      </c>
      <c r="V13" s="18">
        <v>81500</v>
      </c>
      <c r="W13" s="18">
        <v>81200</v>
      </c>
      <c r="X13" s="18">
        <v>80900</v>
      </c>
      <c r="Y13" s="18">
        <v>80600</v>
      </c>
      <c r="Z13" s="18">
        <v>80300</v>
      </c>
      <c r="AA13" s="18">
        <v>79800</v>
      </c>
      <c r="AB13" s="18">
        <v>79200</v>
      </c>
      <c r="AC13" s="18">
        <v>78500</v>
      </c>
      <c r="AD13" s="18">
        <v>77900</v>
      </c>
      <c r="AE13" s="18">
        <v>77300</v>
      </c>
      <c r="AF13" s="18">
        <v>76700</v>
      </c>
      <c r="AG13" s="18">
        <v>76100</v>
      </c>
      <c r="AH13" s="18">
        <v>75500</v>
      </c>
      <c r="AI13" s="18">
        <v>75000</v>
      </c>
      <c r="AJ13" s="18">
        <v>74500</v>
      </c>
      <c r="AK13" s="18">
        <v>74000</v>
      </c>
      <c r="AL13" s="18">
        <v>73500</v>
      </c>
      <c r="AM13" s="18">
        <v>73100</v>
      </c>
      <c r="AP13" s="3" t="s">
        <v>64</v>
      </c>
      <c r="AQ13" s="30" t="s">
        <v>65</v>
      </c>
    </row>
    <row r="14" spans="1:43" ht="17.5" customHeight="1">
      <c r="A14" s="34" t="s">
        <v>129</v>
      </c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6"/>
      <c r="AP14" s="3" t="s">
        <v>68</v>
      </c>
      <c r="AQ14" s="30" t="s">
        <v>69</v>
      </c>
    </row>
    <row r="15" spans="1:43" ht="17" customHeight="1">
      <c r="A15" s="14" t="s">
        <v>64</v>
      </c>
      <c r="B15" s="7" t="s">
        <v>130</v>
      </c>
      <c r="C15" s="15">
        <v>10</v>
      </c>
      <c r="D15" s="15">
        <v>10.08333333333333</v>
      </c>
      <c r="E15" s="15">
        <v>10.16666666666667</v>
      </c>
      <c r="F15" s="15">
        <v>10.25</v>
      </c>
      <c r="G15" s="15">
        <v>10.33333333333333</v>
      </c>
      <c r="H15" s="15">
        <v>10.41666666666667</v>
      </c>
      <c r="I15" s="15">
        <v>10.5</v>
      </c>
      <c r="J15" s="15">
        <v>10.8</v>
      </c>
      <c r="K15" s="15">
        <v>11.1</v>
      </c>
      <c r="L15" s="15">
        <v>11.4</v>
      </c>
      <c r="M15" s="15">
        <v>11.7</v>
      </c>
      <c r="N15" s="15">
        <v>12</v>
      </c>
      <c r="O15" s="15">
        <v>12.8</v>
      </c>
      <c r="P15" s="15">
        <v>13.6</v>
      </c>
      <c r="Q15" s="15">
        <v>14.4</v>
      </c>
      <c r="R15" s="15">
        <v>15.2</v>
      </c>
      <c r="S15" s="15">
        <v>16</v>
      </c>
      <c r="T15" s="15">
        <v>16.8</v>
      </c>
      <c r="U15" s="15">
        <v>17.600000000000001</v>
      </c>
      <c r="V15" s="15">
        <v>18.399999999999999</v>
      </c>
      <c r="W15" s="15">
        <v>19.2</v>
      </c>
      <c r="X15" s="15">
        <v>20</v>
      </c>
      <c r="Y15" s="15">
        <v>20.8</v>
      </c>
      <c r="Z15" s="15">
        <v>21.6</v>
      </c>
      <c r="AA15" s="15">
        <v>22.4</v>
      </c>
      <c r="AB15" s="15">
        <v>23.2</v>
      </c>
      <c r="AC15" s="15">
        <v>24</v>
      </c>
      <c r="AD15" s="15">
        <v>25</v>
      </c>
      <c r="AE15" s="15">
        <v>26</v>
      </c>
      <c r="AF15" s="15">
        <v>27</v>
      </c>
      <c r="AG15" s="15">
        <v>28</v>
      </c>
      <c r="AH15" s="15">
        <v>29</v>
      </c>
      <c r="AI15" s="15">
        <v>30</v>
      </c>
      <c r="AJ15" s="15">
        <v>31</v>
      </c>
      <c r="AK15" s="15">
        <v>32</v>
      </c>
      <c r="AL15" s="15">
        <v>33</v>
      </c>
      <c r="AM15" s="15">
        <v>34</v>
      </c>
    </row>
    <row r="16" spans="1:43" ht="17" customHeight="1">
      <c r="A16" s="14" t="s">
        <v>68</v>
      </c>
      <c r="B16" s="7" t="s">
        <v>131</v>
      </c>
      <c r="C16" s="17">
        <v>1</v>
      </c>
      <c r="D16" s="17">
        <v>1.083333333333333</v>
      </c>
      <c r="E16" s="17">
        <v>1.166666666666667</v>
      </c>
      <c r="F16" s="17">
        <v>1.25</v>
      </c>
      <c r="G16" s="17">
        <v>1.333333333333333</v>
      </c>
      <c r="H16" s="17">
        <v>1.416666666666667</v>
      </c>
      <c r="I16" s="17">
        <v>1.5</v>
      </c>
      <c r="J16" s="17">
        <v>1.7</v>
      </c>
      <c r="K16" s="17">
        <v>1.9</v>
      </c>
      <c r="L16" s="17">
        <v>2.1</v>
      </c>
      <c r="M16" s="17">
        <v>2.2999999999999998</v>
      </c>
      <c r="N16" s="17">
        <v>2.5</v>
      </c>
      <c r="O16" s="17">
        <v>2.8</v>
      </c>
      <c r="P16" s="17">
        <v>3.1</v>
      </c>
      <c r="Q16" s="17">
        <v>3.4</v>
      </c>
      <c r="R16" s="17">
        <v>3.7</v>
      </c>
      <c r="S16" s="17">
        <v>4</v>
      </c>
      <c r="T16" s="17">
        <v>4.4000000000000004</v>
      </c>
      <c r="U16" s="17">
        <v>4.8</v>
      </c>
      <c r="V16" s="17">
        <v>5.2</v>
      </c>
      <c r="W16" s="17">
        <v>5.6</v>
      </c>
      <c r="X16" s="17">
        <v>6</v>
      </c>
      <c r="Y16" s="17">
        <v>6.4</v>
      </c>
      <c r="Z16" s="17">
        <v>6.8</v>
      </c>
      <c r="AA16" s="17">
        <v>7.2</v>
      </c>
      <c r="AB16" s="17">
        <v>7.6</v>
      </c>
      <c r="AC16" s="17">
        <v>8</v>
      </c>
      <c r="AD16" s="17">
        <v>8.4</v>
      </c>
      <c r="AE16" s="17">
        <v>8.8000000000000007</v>
      </c>
      <c r="AF16" s="17">
        <v>9.1999999999999993</v>
      </c>
      <c r="AG16" s="17">
        <v>9.6</v>
      </c>
      <c r="AH16" s="17">
        <v>10</v>
      </c>
      <c r="AI16" s="17">
        <v>10.4</v>
      </c>
      <c r="AJ16" s="17">
        <v>10.8</v>
      </c>
      <c r="AK16" s="17">
        <v>11.2</v>
      </c>
      <c r="AL16" s="17">
        <v>11.6</v>
      </c>
      <c r="AM16" s="17">
        <v>12</v>
      </c>
      <c r="AP16" s="3" t="s">
        <v>58</v>
      </c>
      <c r="AQ16" s="30" t="s">
        <v>59</v>
      </c>
    </row>
    <row r="17" spans="1:43" ht="17" customHeight="1">
      <c r="A17" s="14" t="s">
        <v>60</v>
      </c>
      <c r="B17" s="7" t="e">
        <f>1-短流程%-氢冶金%</f>
        <v>#NAME?</v>
      </c>
      <c r="C17" s="19">
        <f t="shared" ref="C17:AM17" si="0">1-C15/100-C16/100</f>
        <v>0.89</v>
      </c>
      <c r="D17" s="19">
        <f t="shared" si="0"/>
        <v>0.88833333333333331</v>
      </c>
      <c r="E17" s="19">
        <f t="shared" si="0"/>
        <v>0.8866666666666666</v>
      </c>
      <c r="F17" s="19">
        <f t="shared" si="0"/>
        <v>0.88500000000000001</v>
      </c>
      <c r="G17" s="19">
        <f t="shared" si="0"/>
        <v>0.88333333333333341</v>
      </c>
      <c r="H17" s="19">
        <f t="shared" si="0"/>
        <v>0.8816666666666666</v>
      </c>
      <c r="I17" s="19">
        <f t="shared" si="0"/>
        <v>0.88</v>
      </c>
      <c r="J17" s="19">
        <f t="shared" si="0"/>
        <v>0.875</v>
      </c>
      <c r="K17" s="19">
        <f t="shared" si="0"/>
        <v>0.87</v>
      </c>
      <c r="L17" s="19">
        <f t="shared" si="0"/>
        <v>0.86499999999999999</v>
      </c>
      <c r="M17" s="19">
        <f t="shared" si="0"/>
        <v>0.86</v>
      </c>
      <c r="N17" s="19">
        <f t="shared" si="0"/>
        <v>0.85499999999999998</v>
      </c>
      <c r="O17" s="19">
        <f t="shared" si="0"/>
        <v>0.84399999999999997</v>
      </c>
      <c r="P17" s="19">
        <f t="shared" si="0"/>
        <v>0.83299999999999996</v>
      </c>
      <c r="Q17" s="19">
        <f t="shared" si="0"/>
        <v>0.82199999999999995</v>
      </c>
      <c r="R17" s="19">
        <f t="shared" si="0"/>
        <v>0.81099999999999994</v>
      </c>
      <c r="S17" s="19">
        <f t="shared" si="0"/>
        <v>0.79999999999999993</v>
      </c>
      <c r="T17" s="19">
        <f t="shared" si="0"/>
        <v>0.78799999999999992</v>
      </c>
      <c r="U17" s="19">
        <f t="shared" si="0"/>
        <v>0.77599999999999991</v>
      </c>
      <c r="V17" s="19">
        <f t="shared" si="0"/>
        <v>0.76400000000000001</v>
      </c>
      <c r="W17" s="19">
        <f t="shared" si="0"/>
        <v>0.752</v>
      </c>
      <c r="X17" s="19">
        <f t="shared" si="0"/>
        <v>0.74</v>
      </c>
      <c r="Y17" s="19">
        <f t="shared" si="0"/>
        <v>0.72799999999999998</v>
      </c>
      <c r="Z17" s="19">
        <f t="shared" si="0"/>
        <v>0.71599999999999997</v>
      </c>
      <c r="AA17" s="19">
        <f t="shared" si="0"/>
        <v>0.70399999999999996</v>
      </c>
      <c r="AB17" s="19">
        <f t="shared" si="0"/>
        <v>0.69200000000000006</v>
      </c>
      <c r="AC17" s="19">
        <f t="shared" si="0"/>
        <v>0.68</v>
      </c>
      <c r="AD17" s="19">
        <f t="shared" si="0"/>
        <v>0.66600000000000004</v>
      </c>
      <c r="AE17" s="19">
        <f t="shared" si="0"/>
        <v>0.65200000000000002</v>
      </c>
      <c r="AF17" s="19">
        <f t="shared" si="0"/>
        <v>0.63800000000000001</v>
      </c>
      <c r="AG17" s="19">
        <f t="shared" si="0"/>
        <v>0.624</v>
      </c>
      <c r="AH17" s="19">
        <f t="shared" si="0"/>
        <v>0.61</v>
      </c>
      <c r="AI17" s="19">
        <f t="shared" si="0"/>
        <v>0.59599999999999997</v>
      </c>
      <c r="AJ17" s="19">
        <f t="shared" si="0"/>
        <v>0.58199999999999996</v>
      </c>
      <c r="AK17" s="19">
        <f t="shared" si="0"/>
        <v>0.56799999999999995</v>
      </c>
      <c r="AL17" s="19">
        <f t="shared" si="0"/>
        <v>0.55399999999999994</v>
      </c>
      <c r="AM17" s="19">
        <f t="shared" si="0"/>
        <v>0.53999999999999992</v>
      </c>
      <c r="AP17" s="3" t="s">
        <v>62</v>
      </c>
      <c r="AQ17" s="30" t="s">
        <v>63</v>
      </c>
    </row>
    <row r="18" spans="1:43" ht="17" customHeight="1">
      <c r="A18" s="2" t="s">
        <v>132</v>
      </c>
      <c r="B18" s="7" t="e">
        <f>长流程产量公式</f>
        <v>#NAME?</v>
      </c>
      <c r="C18" s="20">
        <f t="shared" ref="C18:AM18" si="1">C13*C17</f>
        <v>89453.01</v>
      </c>
      <c r="D18" s="20">
        <f t="shared" si="1"/>
        <v>85351.955000000002</v>
      </c>
      <c r="E18" s="20">
        <f t="shared" si="1"/>
        <v>84233.333333333328</v>
      </c>
      <c r="F18" s="20">
        <f t="shared" si="1"/>
        <v>83190</v>
      </c>
      <c r="G18" s="20">
        <f t="shared" si="1"/>
        <v>82150.000000000015</v>
      </c>
      <c r="H18" s="20">
        <f t="shared" si="1"/>
        <v>81113.333333333328</v>
      </c>
      <c r="I18" s="20">
        <f t="shared" si="1"/>
        <v>80080</v>
      </c>
      <c r="J18" s="20">
        <f t="shared" si="1"/>
        <v>78750</v>
      </c>
      <c r="K18" s="20">
        <f t="shared" si="1"/>
        <v>77430</v>
      </c>
      <c r="L18" s="20">
        <f t="shared" si="1"/>
        <v>75947</v>
      </c>
      <c r="M18" s="20">
        <f t="shared" si="1"/>
        <v>74476</v>
      </c>
      <c r="N18" s="20">
        <f t="shared" si="1"/>
        <v>73102.5</v>
      </c>
      <c r="O18" s="20">
        <f t="shared" si="1"/>
        <v>71571.199999999997</v>
      </c>
      <c r="P18" s="20">
        <f t="shared" si="1"/>
        <v>70138.599999999991</v>
      </c>
      <c r="Q18" s="20">
        <f t="shared" si="1"/>
        <v>68719.199999999997</v>
      </c>
      <c r="R18" s="20">
        <f t="shared" si="1"/>
        <v>67394.099999999991</v>
      </c>
      <c r="S18" s="20">
        <f t="shared" si="1"/>
        <v>66080</v>
      </c>
      <c r="T18" s="20">
        <f t="shared" si="1"/>
        <v>64773.599999999991</v>
      </c>
      <c r="U18" s="20">
        <f t="shared" si="1"/>
        <v>63476.799999999996</v>
      </c>
      <c r="V18" s="20">
        <f t="shared" si="1"/>
        <v>62266</v>
      </c>
      <c r="W18" s="20">
        <f t="shared" si="1"/>
        <v>61062.400000000001</v>
      </c>
      <c r="X18" s="20">
        <f t="shared" si="1"/>
        <v>59866</v>
      </c>
      <c r="Y18" s="20">
        <f t="shared" si="1"/>
        <v>58676.799999999996</v>
      </c>
      <c r="Z18" s="20">
        <f t="shared" si="1"/>
        <v>57494.799999999996</v>
      </c>
      <c r="AA18" s="20">
        <f t="shared" si="1"/>
        <v>56179.199999999997</v>
      </c>
      <c r="AB18" s="20">
        <f t="shared" si="1"/>
        <v>54806.400000000001</v>
      </c>
      <c r="AC18" s="20">
        <f t="shared" si="1"/>
        <v>53380.000000000007</v>
      </c>
      <c r="AD18" s="20">
        <f t="shared" si="1"/>
        <v>51881.4</v>
      </c>
      <c r="AE18" s="20">
        <f t="shared" si="1"/>
        <v>50399.6</v>
      </c>
      <c r="AF18" s="20">
        <f t="shared" si="1"/>
        <v>48934.6</v>
      </c>
      <c r="AG18" s="20">
        <f t="shared" si="1"/>
        <v>47486.400000000001</v>
      </c>
      <c r="AH18" s="20">
        <f t="shared" si="1"/>
        <v>46055</v>
      </c>
      <c r="AI18" s="20">
        <f t="shared" si="1"/>
        <v>44700</v>
      </c>
      <c r="AJ18" s="20">
        <f t="shared" si="1"/>
        <v>43359</v>
      </c>
      <c r="AK18" s="20">
        <f t="shared" si="1"/>
        <v>42031.999999999993</v>
      </c>
      <c r="AL18" s="20">
        <f t="shared" si="1"/>
        <v>40718.999999999993</v>
      </c>
      <c r="AM18" s="20">
        <f t="shared" si="1"/>
        <v>39473.999999999993</v>
      </c>
      <c r="AP18" s="3" t="s">
        <v>66</v>
      </c>
      <c r="AQ18" s="30" t="s">
        <v>67</v>
      </c>
    </row>
    <row r="19" spans="1:43" ht="17" customHeight="1">
      <c r="A19" s="2" t="s">
        <v>133</v>
      </c>
      <c r="B19" s="7" t="e">
        <f>短流程产量公式</f>
        <v>#NAME?</v>
      </c>
      <c r="C19" s="20">
        <f t="shared" ref="C19:AM19" si="2">C13*C15/100</f>
        <v>10050.9</v>
      </c>
      <c r="D19" s="20">
        <f t="shared" si="2"/>
        <v>9688.1674999999977</v>
      </c>
      <c r="E19" s="20">
        <f t="shared" si="2"/>
        <v>9658.3333333333358</v>
      </c>
      <c r="F19" s="20">
        <f t="shared" si="2"/>
        <v>9635</v>
      </c>
      <c r="G19" s="20">
        <f t="shared" si="2"/>
        <v>9609.9999999999982</v>
      </c>
      <c r="H19" s="20">
        <f t="shared" si="2"/>
        <v>9583.3333333333358</v>
      </c>
      <c r="I19" s="20">
        <f t="shared" si="2"/>
        <v>9555</v>
      </c>
      <c r="J19" s="20">
        <f t="shared" si="2"/>
        <v>9720.0000000000018</v>
      </c>
      <c r="K19" s="20">
        <f t="shared" si="2"/>
        <v>9879</v>
      </c>
      <c r="L19" s="20">
        <f t="shared" si="2"/>
        <v>10009.200000000001</v>
      </c>
      <c r="M19" s="20">
        <f t="shared" si="2"/>
        <v>10132.199999999999</v>
      </c>
      <c r="N19" s="20">
        <f t="shared" si="2"/>
        <v>10260</v>
      </c>
      <c r="O19" s="20">
        <f t="shared" si="2"/>
        <v>10854.4</v>
      </c>
      <c r="P19" s="20">
        <f t="shared" si="2"/>
        <v>11451.2</v>
      </c>
      <c r="Q19" s="20">
        <f t="shared" si="2"/>
        <v>12038.4</v>
      </c>
      <c r="R19" s="20">
        <f t="shared" si="2"/>
        <v>12631.2</v>
      </c>
      <c r="S19" s="20">
        <f t="shared" si="2"/>
        <v>13216</v>
      </c>
      <c r="T19" s="20">
        <f t="shared" si="2"/>
        <v>13809.6</v>
      </c>
      <c r="U19" s="20">
        <f t="shared" si="2"/>
        <v>14396.8</v>
      </c>
      <c r="V19" s="20">
        <f t="shared" si="2"/>
        <v>14996</v>
      </c>
      <c r="W19" s="20">
        <f t="shared" si="2"/>
        <v>15590.4</v>
      </c>
      <c r="X19" s="20">
        <f t="shared" si="2"/>
        <v>16180</v>
      </c>
      <c r="Y19" s="20">
        <f t="shared" si="2"/>
        <v>16764.8</v>
      </c>
      <c r="Z19" s="20">
        <f t="shared" si="2"/>
        <v>17344.8</v>
      </c>
      <c r="AA19" s="20">
        <f t="shared" si="2"/>
        <v>17875.2</v>
      </c>
      <c r="AB19" s="20">
        <f t="shared" si="2"/>
        <v>18374.400000000001</v>
      </c>
      <c r="AC19" s="20">
        <f t="shared" si="2"/>
        <v>18840</v>
      </c>
      <c r="AD19" s="20">
        <f t="shared" si="2"/>
        <v>19475</v>
      </c>
      <c r="AE19" s="20">
        <f t="shared" si="2"/>
        <v>20098</v>
      </c>
      <c r="AF19" s="20">
        <f t="shared" si="2"/>
        <v>20709</v>
      </c>
      <c r="AG19" s="20">
        <f t="shared" si="2"/>
        <v>21308</v>
      </c>
      <c r="AH19" s="20">
        <f t="shared" si="2"/>
        <v>21895</v>
      </c>
      <c r="AI19" s="20">
        <f t="shared" si="2"/>
        <v>22500</v>
      </c>
      <c r="AJ19" s="20">
        <f t="shared" si="2"/>
        <v>23095</v>
      </c>
      <c r="AK19" s="20">
        <f t="shared" si="2"/>
        <v>23680</v>
      </c>
      <c r="AL19" s="20">
        <f t="shared" si="2"/>
        <v>24255</v>
      </c>
      <c r="AM19" s="20">
        <f t="shared" si="2"/>
        <v>24854</v>
      </c>
    </row>
    <row r="20" spans="1:43" ht="17" customHeight="1">
      <c r="A20" s="2" t="s">
        <v>134</v>
      </c>
      <c r="B20" s="7" t="e">
        <f>氢冶金产量公式</f>
        <v>#NAME?</v>
      </c>
      <c r="C20" s="20">
        <f t="shared" ref="C20:AM20" si="3">C13*C16/100</f>
        <v>1005.09</v>
      </c>
      <c r="D20" s="20">
        <f t="shared" si="3"/>
        <v>1040.8774999999996</v>
      </c>
      <c r="E20" s="20">
        <f t="shared" si="3"/>
        <v>1108.3333333333335</v>
      </c>
      <c r="F20" s="20">
        <f t="shared" si="3"/>
        <v>1175</v>
      </c>
      <c r="G20" s="20">
        <f t="shared" si="3"/>
        <v>1239.9999999999998</v>
      </c>
      <c r="H20" s="20">
        <f t="shared" si="3"/>
        <v>1303.3333333333335</v>
      </c>
      <c r="I20" s="20">
        <f t="shared" si="3"/>
        <v>1365</v>
      </c>
      <c r="J20" s="20">
        <f t="shared" si="3"/>
        <v>1530</v>
      </c>
      <c r="K20" s="20">
        <f t="shared" si="3"/>
        <v>1691</v>
      </c>
      <c r="L20" s="20">
        <f t="shared" si="3"/>
        <v>1843.8</v>
      </c>
      <c r="M20" s="20">
        <f t="shared" si="3"/>
        <v>1991.7999999999997</v>
      </c>
      <c r="N20" s="20">
        <f t="shared" si="3"/>
        <v>2137.5</v>
      </c>
      <c r="O20" s="20">
        <f t="shared" si="3"/>
        <v>2374.3999999999996</v>
      </c>
      <c r="P20" s="20">
        <f t="shared" si="3"/>
        <v>2610.1999999999998</v>
      </c>
      <c r="Q20" s="20">
        <f t="shared" si="3"/>
        <v>2842.4</v>
      </c>
      <c r="R20" s="20">
        <f t="shared" si="3"/>
        <v>3074.7</v>
      </c>
      <c r="S20" s="20">
        <f t="shared" si="3"/>
        <v>3304</v>
      </c>
      <c r="T20" s="20">
        <f t="shared" si="3"/>
        <v>3616.8000000000006</v>
      </c>
      <c r="U20" s="20">
        <f t="shared" si="3"/>
        <v>3926.4</v>
      </c>
      <c r="V20" s="20">
        <f t="shared" si="3"/>
        <v>4238</v>
      </c>
      <c r="W20" s="20">
        <f t="shared" si="3"/>
        <v>4547.2</v>
      </c>
      <c r="X20" s="20">
        <f t="shared" si="3"/>
        <v>4854</v>
      </c>
      <c r="Y20" s="20">
        <f t="shared" si="3"/>
        <v>5158.3999999999996</v>
      </c>
      <c r="Z20" s="20">
        <f t="shared" si="3"/>
        <v>5460.4</v>
      </c>
      <c r="AA20" s="20">
        <f t="shared" si="3"/>
        <v>5745.6</v>
      </c>
      <c r="AB20" s="20">
        <f t="shared" si="3"/>
        <v>6019.2</v>
      </c>
      <c r="AC20" s="20">
        <f t="shared" si="3"/>
        <v>6280</v>
      </c>
      <c r="AD20" s="20">
        <f t="shared" si="3"/>
        <v>6543.6</v>
      </c>
      <c r="AE20" s="20">
        <f t="shared" si="3"/>
        <v>6802.4</v>
      </c>
      <c r="AF20" s="20">
        <f t="shared" si="3"/>
        <v>7056.4</v>
      </c>
      <c r="AG20" s="20">
        <f t="shared" si="3"/>
        <v>7305.6</v>
      </c>
      <c r="AH20" s="20">
        <f t="shared" si="3"/>
        <v>7550</v>
      </c>
      <c r="AI20" s="20">
        <f t="shared" si="3"/>
        <v>7800</v>
      </c>
      <c r="AJ20" s="20">
        <f t="shared" si="3"/>
        <v>8046</v>
      </c>
      <c r="AK20" s="20">
        <f t="shared" si="3"/>
        <v>8288</v>
      </c>
      <c r="AL20" s="20">
        <f t="shared" si="3"/>
        <v>8526</v>
      </c>
      <c r="AM20" s="20">
        <f t="shared" si="3"/>
        <v>8772</v>
      </c>
      <c r="AP20" s="3" t="s">
        <v>135</v>
      </c>
      <c r="AQ20" s="30" t="s">
        <v>136</v>
      </c>
    </row>
    <row r="21" spans="1:43" ht="17.5" customHeight="1">
      <c r="A21" s="34" t="s">
        <v>137</v>
      </c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6"/>
      <c r="AP21" s="3" t="s">
        <v>138</v>
      </c>
      <c r="AQ21" s="30" t="s">
        <v>139</v>
      </c>
    </row>
    <row r="22" spans="1:43" ht="28" customHeight="1">
      <c r="A22" s="7" t="s">
        <v>140</v>
      </c>
      <c r="B22" s="7" t="s">
        <v>141</v>
      </c>
      <c r="C22" s="21">
        <v>28826</v>
      </c>
      <c r="D22" s="21">
        <v>28254</v>
      </c>
      <c r="E22" s="21">
        <v>29999</v>
      </c>
      <c r="F22" s="21">
        <v>29431</v>
      </c>
      <c r="G22" s="21">
        <v>29435</v>
      </c>
      <c r="H22" s="21">
        <v>28841</v>
      </c>
      <c r="I22" s="21">
        <v>32825</v>
      </c>
      <c r="J22" s="21">
        <v>34566</v>
      </c>
      <c r="K22" s="21">
        <v>36824</v>
      </c>
      <c r="L22" s="21">
        <v>38029</v>
      </c>
      <c r="M22" s="21">
        <v>40733</v>
      </c>
      <c r="N22" s="21">
        <v>41498</v>
      </c>
      <c r="O22" s="21">
        <v>39919</v>
      </c>
      <c r="P22" s="21">
        <v>40670</v>
      </c>
      <c r="Q22" s="21">
        <v>43771</v>
      </c>
      <c r="R22" s="21">
        <v>49120</v>
      </c>
      <c r="S22" s="21">
        <v>49569</v>
      </c>
      <c r="T22" s="21">
        <v>53511</v>
      </c>
      <c r="U22" s="21">
        <v>53922</v>
      </c>
      <c r="V22" s="21">
        <v>58199</v>
      </c>
      <c r="W22" s="21">
        <v>57300</v>
      </c>
      <c r="X22" s="21">
        <v>58133</v>
      </c>
      <c r="Y22" s="21">
        <v>58418</v>
      </c>
      <c r="Z22" s="21">
        <v>58749</v>
      </c>
      <c r="AA22" s="21">
        <v>58819</v>
      </c>
      <c r="AB22" s="21">
        <v>58783</v>
      </c>
      <c r="AC22" s="21">
        <v>58648</v>
      </c>
      <c r="AD22" s="21">
        <v>58235</v>
      </c>
      <c r="AE22" s="21">
        <v>57897</v>
      </c>
      <c r="AF22" s="21">
        <v>58334</v>
      </c>
      <c r="AG22" s="21">
        <v>58048</v>
      </c>
      <c r="AH22" s="21">
        <v>58590</v>
      </c>
      <c r="AI22" s="21">
        <v>57706</v>
      </c>
      <c r="AJ22" s="21">
        <v>56824</v>
      </c>
      <c r="AK22" s="21">
        <v>56041</v>
      </c>
      <c r="AL22" s="21">
        <v>55228</v>
      </c>
      <c r="AM22" s="21">
        <v>54411</v>
      </c>
      <c r="AP22" s="3" t="s">
        <v>142</v>
      </c>
      <c r="AQ22" s="30" t="s">
        <v>143</v>
      </c>
    </row>
    <row r="23" spans="1:43" ht="17" customHeight="1">
      <c r="A23" s="2" t="s">
        <v>144</v>
      </c>
      <c r="B23" s="7" t="s">
        <v>145</v>
      </c>
      <c r="C23" s="20">
        <f t="shared" ref="C23:AM23" si="4">C18*0.3</f>
        <v>26835.902999999998</v>
      </c>
      <c r="D23" s="20">
        <f t="shared" si="4"/>
        <v>25605.586500000001</v>
      </c>
      <c r="E23" s="20">
        <f t="shared" si="4"/>
        <v>25269.999999999996</v>
      </c>
      <c r="F23" s="20">
        <f t="shared" si="4"/>
        <v>24957</v>
      </c>
      <c r="G23" s="20">
        <f t="shared" si="4"/>
        <v>24645.000000000004</v>
      </c>
      <c r="H23" s="20">
        <f t="shared" si="4"/>
        <v>24333.999999999996</v>
      </c>
      <c r="I23" s="20">
        <f t="shared" si="4"/>
        <v>24024</v>
      </c>
      <c r="J23" s="20">
        <f t="shared" si="4"/>
        <v>23625</v>
      </c>
      <c r="K23" s="20">
        <f t="shared" si="4"/>
        <v>23229</v>
      </c>
      <c r="L23" s="20">
        <f t="shared" si="4"/>
        <v>22784.1</v>
      </c>
      <c r="M23" s="20">
        <f t="shared" si="4"/>
        <v>22342.799999999999</v>
      </c>
      <c r="N23" s="20">
        <f t="shared" si="4"/>
        <v>21930.75</v>
      </c>
      <c r="O23" s="20">
        <f t="shared" si="4"/>
        <v>21471.359999999997</v>
      </c>
      <c r="P23" s="20">
        <f t="shared" si="4"/>
        <v>21041.579999999998</v>
      </c>
      <c r="Q23" s="20">
        <f t="shared" si="4"/>
        <v>20615.759999999998</v>
      </c>
      <c r="R23" s="20">
        <f t="shared" si="4"/>
        <v>20218.229999999996</v>
      </c>
      <c r="S23" s="20">
        <f t="shared" si="4"/>
        <v>19824</v>
      </c>
      <c r="T23" s="20">
        <f t="shared" si="4"/>
        <v>19432.079999999998</v>
      </c>
      <c r="U23" s="20">
        <f t="shared" si="4"/>
        <v>19043.039999999997</v>
      </c>
      <c r="V23" s="20">
        <f t="shared" si="4"/>
        <v>18679.8</v>
      </c>
      <c r="W23" s="20">
        <f t="shared" si="4"/>
        <v>18318.72</v>
      </c>
      <c r="X23" s="20">
        <f t="shared" si="4"/>
        <v>17959.8</v>
      </c>
      <c r="Y23" s="20">
        <f t="shared" si="4"/>
        <v>17603.039999999997</v>
      </c>
      <c r="Z23" s="20">
        <f t="shared" si="4"/>
        <v>17248.439999999999</v>
      </c>
      <c r="AA23" s="20">
        <f t="shared" si="4"/>
        <v>16853.759999999998</v>
      </c>
      <c r="AB23" s="20">
        <f t="shared" si="4"/>
        <v>16441.919999999998</v>
      </c>
      <c r="AC23" s="20">
        <f t="shared" si="4"/>
        <v>16014.000000000002</v>
      </c>
      <c r="AD23" s="20">
        <f t="shared" si="4"/>
        <v>15564.42</v>
      </c>
      <c r="AE23" s="20">
        <f t="shared" si="4"/>
        <v>15119.88</v>
      </c>
      <c r="AF23" s="20">
        <f t="shared" si="4"/>
        <v>14680.38</v>
      </c>
      <c r="AG23" s="20">
        <f t="shared" si="4"/>
        <v>14245.92</v>
      </c>
      <c r="AH23" s="20">
        <f t="shared" si="4"/>
        <v>13816.5</v>
      </c>
      <c r="AI23" s="20">
        <f t="shared" si="4"/>
        <v>13410</v>
      </c>
      <c r="AJ23" s="20">
        <f t="shared" si="4"/>
        <v>13007.699999999999</v>
      </c>
      <c r="AK23" s="20">
        <f t="shared" si="4"/>
        <v>12609.599999999997</v>
      </c>
      <c r="AL23" s="20">
        <f t="shared" si="4"/>
        <v>12215.699999999997</v>
      </c>
      <c r="AM23" s="20">
        <f t="shared" si="4"/>
        <v>11842.199999999997</v>
      </c>
      <c r="AP23" s="3" t="s">
        <v>146</v>
      </c>
      <c r="AQ23" s="30" t="s">
        <v>147</v>
      </c>
    </row>
    <row r="24" spans="1:43" ht="17" customHeight="1">
      <c r="A24" s="2" t="s">
        <v>148</v>
      </c>
      <c r="B24" s="7" t="s">
        <v>145</v>
      </c>
      <c r="C24" s="20">
        <f t="shared" ref="C24:AM24" si="5">(C18-C23/1.1)*1.053*1.65</f>
        <v>113032.82343599999</v>
      </c>
      <c r="D24" s="20">
        <f t="shared" si="5"/>
        <v>107850.73033799999</v>
      </c>
      <c r="E24" s="20">
        <f t="shared" si="5"/>
        <v>106437.23999999999</v>
      </c>
      <c r="F24" s="20">
        <f t="shared" si="5"/>
        <v>105118.88399999999</v>
      </c>
      <c r="G24" s="20">
        <f t="shared" si="5"/>
        <v>103804.74</v>
      </c>
      <c r="H24" s="20">
        <f t="shared" si="5"/>
        <v>102494.80799999999</v>
      </c>
      <c r="I24" s="20">
        <f t="shared" si="5"/>
        <v>101189.08799999999</v>
      </c>
      <c r="J24" s="20">
        <f t="shared" si="5"/>
        <v>99508.5</v>
      </c>
      <c r="K24" s="20">
        <f t="shared" si="5"/>
        <v>97840.547999999995</v>
      </c>
      <c r="L24" s="20">
        <f t="shared" si="5"/>
        <v>95966.629199999996</v>
      </c>
      <c r="M24" s="20">
        <f t="shared" si="5"/>
        <v>94107.873599999992</v>
      </c>
      <c r="N24" s="20">
        <f t="shared" si="5"/>
        <v>92372.318999999989</v>
      </c>
      <c r="O24" s="20">
        <f t="shared" si="5"/>
        <v>90437.36831999998</v>
      </c>
      <c r="P24" s="20">
        <f t="shared" si="5"/>
        <v>88627.134959999981</v>
      </c>
      <c r="Q24" s="20">
        <f t="shared" si="5"/>
        <v>86833.581119999988</v>
      </c>
      <c r="R24" s="20">
        <f t="shared" si="5"/>
        <v>85159.184759999975</v>
      </c>
      <c r="S24" s="20">
        <f t="shared" si="5"/>
        <v>83498.687999999995</v>
      </c>
      <c r="T24" s="20">
        <f t="shared" si="5"/>
        <v>81847.920959999989</v>
      </c>
      <c r="U24" s="20">
        <f t="shared" si="5"/>
        <v>80209.284479999988</v>
      </c>
      <c r="V24" s="20">
        <f t="shared" si="5"/>
        <v>78679.317599999995</v>
      </c>
      <c r="W24" s="20">
        <f t="shared" si="5"/>
        <v>77158.448640000002</v>
      </c>
      <c r="X24" s="20">
        <f t="shared" si="5"/>
        <v>75646.67760000001</v>
      </c>
      <c r="Y24" s="20">
        <f t="shared" si="5"/>
        <v>74144.004479999989</v>
      </c>
      <c r="Z24" s="20">
        <f t="shared" si="5"/>
        <v>72650.429279999982</v>
      </c>
      <c r="AA24" s="20">
        <f t="shared" si="5"/>
        <v>70988.037119999994</v>
      </c>
      <c r="AB24" s="20">
        <f t="shared" si="5"/>
        <v>69253.367039999997</v>
      </c>
      <c r="AC24" s="20">
        <f t="shared" si="5"/>
        <v>67450.968000000008</v>
      </c>
      <c r="AD24" s="20">
        <f t="shared" si="5"/>
        <v>65557.337039999999</v>
      </c>
      <c r="AE24" s="20">
        <f t="shared" si="5"/>
        <v>63684.934559999994</v>
      </c>
      <c r="AF24" s="20">
        <f t="shared" si="5"/>
        <v>61833.760559999995</v>
      </c>
      <c r="AG24" s="20">
        <f t="shared" si="5"/>
        <v>60003.815039999994</v>
      </c>
      <c r="AH24" s="20">
        <f t="shared" si="5"/>
        <v>58195.097999999998</v>
      </c>
      <c r="AI24" s="20">
        <f t="shared" si="5"/>
        <v>56482.920000000006</v>
      </c>
      <c r="AJ24" s="20">
        <f t="shared" si="5"/>
        <v>54788.432399999998</v>
      </c>
      <c r="AK24" s="20">
        <f t="shared" si="5"/>
        <v>53111.63519999999</v>
      </c>
      <c r="AL24" s="20">
        <f t="shared" si="5"/>
        <v>51452.528399999981</v>
      </c>
      <c r="AM24" s="20">
        <f t="shared" si="5"/>
        <v>49879.346399999988</v>
      </c>
    </row>
    <row r="25" spans="1:43" ht="17" customHeight="1">
      <c r="A25" s="2" t="s">
        <v>149</v>
      </c>
      <c r="B25" s="7" t="s">
        <v>145</v>
      </c>
      <c r="C25" s="20">
        <f t="shared" ref="C25:AM25" si="6">C19*1.1</f>
        <v>11055.99</v>
      </c>
      <c r="D25" s="20">
        <f t="shared" si="6"/>
        <v>10656.984249999998</v>
      </c>
      <c r="E25" s="20">
        <f t="shared" si="6"/>
        <v>10624.16666666667</v>
      </c>
      <c r="F25" s="20">
        <f t="shared" si="6"/>
        <v>10598.5</v>
      </c>
      <c r="G25" s="20">
        <f t="shared" si="6"/>
        <v>10570.999999999998</v>
      </c>
      <c r="H25" s="20">
        <f t="shared" si="6"/>
        <v>10541.66666666667</v>
      </c>
      <c r="I25" s="20">
        <f t="shared" si="6"/>
        <v>10510.5</v>
      </c>
      <c r="J25" s="20">
        <f t="shared" si="6"/>
        <v>10692.000000000004</v>
      </c>
      <c r="K25" s="20">
        <f t="shared" si="6"/>
        <v>10866.900000000001</v>
      </c>
      <c r="L25" s="20">
        <f t="shared" si="6"/>
        <v>11010.12</v>
      </c>
      <c r="M25" s="20">
        <f t="shared" si="6"/>
        <v>11145.42</v>
      </c>
      <c r="N25" s="20">
        <f t="shared" si="6"/>
        <v>11286.000000000002</v>
      </c>
      <c r="O25" s="20">
        <f t="shared" si="6"/>
        <v>11939.84</v>
      </c>
      <c r="P25" s="20">
        <f t="shared" si="6"/>
        <v>12596.320000000002</v>
      </c>
      <c r="Q25" s="20">
        <f t="shared" si="6"/>
        <v>13242.24</v>
      </c>
      <c r="R25" s="20">
        <f t="shared" si="6"/>
        <v>13894.320000000002</v>
      </c>
      <c r="S25" s="20">
        <f t="shared" si="6"/>
        <v>14537.6</v>
      </c>
      <c r="T25" s="20">
        <f t="shared" si="6"/>
        <v>15190.560000000001</v>
      </c>
      <c r="U25" s="20">
        <f t="shared" si="6"/>
        <v>15836.480000000001</v>
      </c>
      <c r="V25" s="20">
        <f t="shared" si="6"/>
        <v>16495.600000000002</v>
      </c>
      <c r="W25" s="20">
        <f t="shared" si="6"/>
        <v>17149.440000000002</v>
      </c>
      <c r="X25" s="20">
        <f t="shared" si="6"/>
        <v>17798</v>
      </c>
      <c r="Y25" s="20">
        <f t="shared" si="6"/>
        <v>18441.280000000002</v>
      </c>
      <c r="Z25" s="20">
        <f t="shared" si="6"/>
        <v>19079.280000000002</v>
      </c>
      <c r="AA25" s="20">
        <f t="shared" si="6"/>
        <v>19662.72</v>
      </c>
      <c r="AB25" s="20">
        <f t="shared" si="6"/>
        <v>20211.840000000004</v>
      </c>
      <c r="AC25" s="20">
        <f t="shared" si="6"/>
        <v>20724</v>
      </c>
      <c r="AD25" s="20">
        <f t="shared" si="6"/>
        <v>21422.5</v>
      </c>
      <c r="AE25" s="20">
        <f t="shared" si="6"/>
        <v>22107.800000000003</v>
      </c>
      <c r="AF25" s="20">
        <f t="shared" si="6"/>
        <v>22779.9</v>
      </c>
      <c r="AG25" s="20">
        <f t="shared" si="6"/>
        <v>23438.800000000003</v>
      </c>
      <c r="AH25" s="20">
        <f t="shared" si="6"/>
        <v>24084.500000000004</v>
      </c>
      <c r="AI25" s="20">
        <f t="shared" si="6"/>
        <v>24750.000000000004</v>
      </c>
      <c r="AJ25" s="20">
        <f t="shared" si="6"/>
        <v>25404.500000000004</v>
      </c>
      <c r="AK25" s="20">
        <f t="shared" si="6"/>
        <v>26048.000000000004</v>
      </c>
      <c r="AL25" s="20">
        <f t="shared" si="6"/>
        <v>26680.500000000004</v>
      </c>
      <c r="AM25" s="20">
        <f t="shared" si="6"/>
        <v>27339.4</v>
      </c>
      <c r="AP25" s="40" t="s">
        <v>150</v>
      </c>
      <c r="AQ25" s="36"/>
    </row>
    <row r="26" spans="1:43" ht="17" customHeight="1">
      <c r="A26" s="2" t="s">
        <v>151</v>
      </c>
      <c r="B26" s="7" t="s">
        <v>145</v>
      </c>
      <c r="C26" s="20">
        <f t="shared" ref="C26:AM26" si="7">C20*0.5</f>
        <v>502.54500000000002</v>
      </c>
      <c r="D26" s="20">
        <f t="shared" si="7"/>
        <v>520.4387499999998</v>
      </c>
      <c r="E26" s="20">
        <f t="shared" si="7"/>
        <v>554.16666666666674</v>
      </c>
      <c r="F26" s="20">
        <f t="shared" si="7"/>
        <v>587.5</v>
      </c>
      <c r="G26" s="20">
        <f t="shared" si="7"/>
        <v>619.99999999999989</v>
      </c>
      <c r="H26" s="20">
        <f t="shared" si="7"/>
        <v>651.66666666666674</v>
      </c>
      <c r="I26" s="20">
        <f t="shared" si="7"/>
        <v>682.5</v>
      </c>
      <c r="J26" s="20">
        <f t="shared" si="7"/>
        <v>765</v>
      </c>
      <c r="K26" s="20">
        <f t="shared" si="7"/>
        <v>845.5</v>
      </c>
      <c r="L26" s="20">
        <f t="shared" si="7"/>
        <v>921.9</v>
      </c>
      <c r="M26" s="20">
        <f t="shared" si="7"/>
        <v>995.89999999999986</v>
      </c>
      <c r="N26" s="20">
        <f t="shared" si="7"/>
        <v>1068.75</v>
      </c>
      <c r="O26" s="20">
        <f t="shared" si="7"/>
        <v>1187.1999999999998</v>
      </c>
      <c r="P26" s="20">
        <f t="shared" si="7"/>
        <v>1305.0999999999999</v>
      </c>
      <c r="Q26" s="20">
        <f t="shared" si="7"/>
        <v>1421.2</v>
      </c>
      <c r="R26" s="20">
        <f t="shared" si="7"/>
        <v>1537.35</v>
      </c>
      <c r="S26" s="20">
        <f t="shared" si="7"/>
        <v>1652</v>
      </c>
      <c r="T26" s="20">
        <f t="shared" si="7"/>
        <v>1808.4000000000003</v>
      </c>
      <c r="U26" s="20">
        <f t="shared" si="7"/>
        <v>1963.2</v>
      </c>
      <c r="V26" s="20">
        <f t="shared" si="7"/>
        <v>2119</v>
      </c>
      <c r="W26" s="20">
        <f t="shared" si="7"/>
        <v>2273.6</v>
      </c>
      <c r="X26" s="20">
        <f t="shared" si="7"/>
        <v>2427</v>
      </c>
      <c r="Y26" s="20">
        <f t="shared" si="7"/>
        <v>2579.1999999999998</v>
      </c>
      <c r="Z26" s="20">
        <f t="shared" si="7"/>
        <v>2730.2</v>
      </c>
      <c r="AA26" s="20">
        <f t="shared" si="7"/>
        <v>2872.8</v>
      </c>
      <c r="AB26" s="20">
        <f t="shared" si="7"/>
        <v>3009.6</v>
      </c>
      <c r="AC26" s="20">
        <f t="shared" si="7"/>
        <v>3140</v>
      </c>
      <c r="AD26" s="20">
        <f t="shared" si="7"/>
        <v>3271.8</v>
      </c>
      <c r="AE26" s="20">
        <f t="shared" si="7"/>
        <v>3401.2</v>
      </c>
      <c r="AF26" s="20">
        <f t="shared" si="7"/>
        <v>3528.2</v>
      </c>
      <c r="AG26" s="20">
        <f t="shared" si="7"/>
        <v>3652.8</v>
      </c>
      <c r="AH26" s="20">
        <f t="shared" si="7"/>
        <v>3775</v>
      </c>
      <c r="AI26" s="20">
        <f t="shared" si="7"/>
        <v>3900</v>
      </c>
      <c r="AJ26" s="20">
        <f t="shared" si="7"/>
        <v>4023</v>
      </c>
      <c r="AK26" s="20">
        <f t="shared" si="7"/>
        <v>4144</v>
      </c>
      <c r="AL26" s="20">
        <f t="shared" si="7"/>
        <v>4263</v>
      </c>
      <c r="AM26" s="20">
        <f t="shared" si="7"/>
        <v>4386</v>
      </c>
      <c r="AP26" s="3" t="s">
        <v>77</v>
      </c>
      <c r="AQ26" s="30" t="s">
        <v>78</v>
      </c>
    </row>
    <row r="27" spans="1:43" ht="17" customHeight="1">
      <c r="A27" s="2" t="s">
        <v>152</v>
      </c>
      <c r="B27" s="7" t="s">
        <v>145</v>
      </c>
      <c r="C27" s="20">
        <f t="shared" ref="C27:AM27" si="8">(C20-C26/1.1)*1.053*1.65</f>
        <v>952.52379299999984</v>
      </c>
      <c r="D27" s="20">
        <f t="shared" si="8"/>
        <v>986.43960674999971</v>
      </c>
      <c r="E27" s="20">
        <f t="shared" si="8"/>
        <v>1050.3675000000003</v>
      </c>
      <c r="F27" s="20">
        <f t="shared" si="8"/>
        <v>1113.5474999999999</v>
      </c>
      <c r="G27" s="20">
        <f t="shared" si="8"/>
        <v>1175.1479999999997</v>
      </c>
      <c r="H27" s="20">
        <f t="shared" si="8"/>
        <v>1235.1690000000001</v>
      </c>
      <c r="I27" s="20">
        <f t="shared" si="8"/>
        <v>1293.6105</v>
      </c>
      <c r="J27" s="20">
        <f t="shared" si="8"/>
        <v>1449.981</v>
      </c>
      <c r="K27" s="20">
        <f t="shared" si="8"/>
        <v>1602.5606999999998</v>
      </c>
      <c r="L27" s="20">
        <f t="shared" si="8"/>
        <v>1747.3692599999999</v>
      </c>
      <c r="M27" s="20">
        <f t="shared" si="8"/>
        <v>1887.6288599999998</v>
      </c>
      <c r="N27" s="20">
        <f t="shared" si="8"/>
        <v>2025.7087499999998</v>
      </c>
      <c r="O27" s="20">
        <f t="shared" si="8"/>
        <v>2250.2188799999994</v>
      </c>
      <c r="P27" s="20">
        <f t="shared" si="8"/>
        <v>2473.6865399999997</v>
      </c>
      <c r="Q27" s="20">
        <f t="shared" si="8"/>
        <v>2693.7424799999999</v>
      </c>
      <c r="R27" s="20">
        <f t="shared" si="8"/>
        <v>2913.8931899999998</v>
      </c>
      <c r="S27" s="20">
        <f t="shared" si="8"/>
        <v>3131.2007999999996</v>
      </c>
      <c r="T27" s="20">
        <f t="shared" si="8"/>
        <v>3427.6413600000005</v>
      </c>
      <c r="U27" s="20">
        <f t="shared" si="8"/>
        <v>3721.0492800000006</v>
      </c>
      <c r="V27" s="20">
        <f t="shared" si="8"/>
        <v>4016.3526000000002</v>
      </c>
      <c r="W27" s="20">
        <f t="shared" si="8"/>
        <v>4309.3814400000001</v>
      </c>
      <c r="X27" s="20">
        <f t="shared" si="8"/>
        <v>4600.1358</v>
      </c>
      <c r="Y27" s="20">
        <f t="shared" si="8"/>
        <v>4888.615679999999</v>
      </c>
      <c r="Z27" s="20">
        <f t="shared" si="8"/>
        <v>5174.8210799999997</v>
      </c>
      <c r="AA27" s="20">
        <f t="shared" si="8"/>
        <v>5445.1051200000002</v>
      </c>
      <c r="AB27" s="20">
        <f t="shared" si="8"/>
        <v>5704.3958400000001</v>
      </c>
      <c r="AC27" s="20">
        <f t="shared" si="8"/>
        <v>5951.5559999999996</v>
      </c>
      <c r="AD27" s="20">
        <f t="shared" si="8"/>
        <v>6201.3697199999997</v>
      </c>
      <c r="AE27" s="20">
        <f t="shared" si="8"/>
        <v>6446.6344799999997</v>
      </c>
      <c r="AF27" s="20">
        <f t="shared" si="8"/>
        <v>6687.3502799999987</v>
      </c>
      <c r="AG27" s="20">
        <f t="shared" si="8"/>
        <v>6923.5171200000004</v>
      </c>
      <c r="AH27" s="20">
        <f t="shared" si="8"/>
        <v>7155.1349999999984</v>
      </c>
      <c r="AI27" s="20">
        <f t="shared" si="8"/>
        <v>7392.0599999999995</v>
      </c>
      <c r="AJ27" s="20">
        <f t="shared" si="8"/>
        <v>7625.1941999999999</v>
      </c>
      <c r="AK27" s="20">
        <f t="shared" si="8"/>
        <v>7854.5375999999997</v>
      </c>
      <c r="AL27" s="20">
        <f t="shared" si="8"/>
        <v>8080.0901999999996</v>
      </c>
      <c r="AM27" s="20">
        <f t="shared" si="8"/>
        <v>8313.2243999999992</v>
      </c>
    </row>
    <row r="28" spans="1:43" ht="17" customHeight="1">
      <c r="A28" s="4" t="s">
        <v>153</v>
      </c>
      <c r="B28" s="7" t="s">
        <v>145</v>
      </c>
      <c r="C28" s="22">
        <f t="shared" ref="C28:AM28" si="9">C23+C25+C26</f>
        <v>38394.437999999995</v>
      </c>
      <c r="D28" s="22">
        <f t="shared" si="9"/>
        <v>36783.0095</v>
      </c>
      <c r="E28" s="22">
        <f t="shared" si="9"/>
        <v>36448.333333333328</v>
      </c>
      <c r="F28" s="22">
        <f t="shared" si="9"/>
        <v>36143</v>
      </c>
      <c r="G28" s="22">
        <f t="shared" si="9"/>
        <v>35836</v>
      </c>
      <c r="H28" s="22">
        <f t="shared" si="9"/>
        <v>35527.333333333328</v>
      </c>
      <c r="I28" s="22">
        <f t="shared" si="9"/>
        <v>35217</v>
      </c>
      <c r="J28" s="22">
        <f t="shared" si="9"/>
        <v>35082</v>
      </c>
      <c r="K28" s="22">
        <f t="shared" si="9"/>
        <v>34941.4</v>
      </c>
      <c r="L28" s="22">
        <f t="shared" si="9"/>
        <v>34716.120000000003</v>
      </c>
      <c r="M28" s="22">
        <f t="shared" si="9"/>
        <v>34484.120000000003</v>
      </c>
      <c r="N28" s="22">
        <f t="shared" si="9"/>
        <v>34285.5</v>
      </c>
      <c r="O28" s="22">
        <f t="shared" si="9"/>
        <v>34598.399999999994</v>
      </c>
      <c r="P28" s="22">
        <f t="shared" si="9"/>
        <v>34943</v>
      </c>
      <c r="Q28" s="22">
        <f t="shared" si="9"/>
        <v>35279.199999999997</v>
      </c>
      <c r="R28" s="22">
        <f t="shared" si="9"/>
        <v>35649.899999999994</v>
      </c>
      <c r="S28" s="22">
        <f t="shared" si="9"/>
        <v>36013.599999999999</v>
      </c>
      <c r="T28" s="22">
        <f t="shared" si="9"/>
        <v>36431.040000000001</v>
      </c>
      <c r="U28" s="22">
        <f t="shared" si="9"/>
        <v>36842.719999999994</v>
      </c>
      <c r="V28" s="22">
        <f t="shared" si="9"/>
        <v>37294.400000000001</v>
      </c>
      <c r="W28" s="22">
        <f t="shared" si="9"/>
        <v>37741.760000000002</v>
      </c>
      <c r="X28" s="22">
        <f t="shared" si="9"/>
        <v>38184.800000000003</v>
      </c>
      <c r="Y28" s="22">
        <f t="shared" si="9"/>
        <v>38623.519999999997</v>
      </c>
      <c r="Z28" s="22">
        <f t="shared" si="9"/>
        <v>39057.919999999998</v>
      </c>
      <c r="AA28" s="22">
        <f t="shared" si="9"/>
        <v>39389.279999999999</v>
      </c>
      <c r="AB28" s="22">
        <f t="shared" si="9"/>
        <v>39663.360000000001</v>
      </c>
      <c r="AC28" s="22">
        <f t="shared" si="9"/>
        <v>39878</v>
      </c>
      <c r="AD28" s="22">
        <f t="shared" si="9"/>
        <v>40258.720000000001</v>
      </c>
      <c r="AE28" s="22">
        <f t="shared" si="9"/>
        <v>40628.879999999997</v>
      </c>
      <c r="AF28" s="22">
        <f t="shared" si="9"/>
        <v>40988.479999999996</v>
      </c>
      <c r="AG28" s="22">
        <f t="shared" si="9"/>
        <v>41337.520000000004</v>
      </c>
      <c r="AH28" s="22">
        <f t="shared" si="9"/>
        <v>41676</v>
      </c>
      <c r="AI28" s="22">
        <f t="shared" si="9"/>
        <v>42060</v>
      </c>
      <c r="AJ28" s="22">
        <f t="shared" si="9"/>
        <v>42435.200000000004</v>
      </c>
      <c r="AK28" s="22">
        <f t="shared" si="9"/>
        <v>42801.599999999999</v>
      </c>
      <c r="AL28" s="22">
        <f t="shared" si="9"/>
        <v>43159.199999999997</v>
      </c>
      <c r="AM28" s="22">
        <f t="shared" si="9"/>
        <v>43567.6</v>
      </c>
      <c r="AP28" s="3" t="s">
        <v>79</v>
      </c>
      <c r="AQ28" s="30" t="s">
        <v>80</v>
      </c>
    </row>
    <row r="29" spans="1:43" ht="17" customHeight="1">
      <c r="A29" s="4" t="s">
        <v>154</v>
      </c>
      <c r="B29" s="7" t="s">
        <v>145</v>
      </c>
      <c r="C29" s="22">
        <f t="shared" ref="C29:AM29" si="10">C24+C27</f>
        <v>113985.34722899999</v>
      </c>
      <c r="D29" s="22">
        <f t="shared" si="10"/>
        <v>108837.16994475</v>
      </c>
      <c r="E29" s="22">
        <f t="shared" si="10"/>
        <v>107487.60749999998</v>
      </c>
      <c r="F29" s="22">
        <f t="shared" si="10"/>
        <v>106232.43149999999</v>
      </c>
      <c r="G29" s="22">
        <f t="shared" si="10"/>
        <v>104979.88800000001</v>
      </c>
      <c r="H29" s="22">
        <f t="shared" si="10"/>
        <v>103729.97699999998</v>
      </c>
      <c r="I29" s="22">
        <f t="shared" si="10"/>
        <v>102482.69849999998</v>
      </c>
      <c r="J29" s="22">
        <f t="shared" si="10"/>
        <v>100958.481</v>
      </c>
      <c r="K29" s="22">
        <f t="shared" si="10"/>
        <v>99443.108699999997</v>
      </c>
      <c r="L29" s="22">
        <f t="shared" si="10"/>
        <v>97713.998460000003</v>
      </c>
      <c r="M29" s="22">
        <f t="shared" si="10"/>
        <v>95995.502459999989</v>
      </c>
      <c r="N29" s="22">
        <f t="shared" si="10"/>
        <v>94398.027749999994</v>
      </c>
      <c r="O29" s="22">
        <f t="shared" si="10"/>
        <v>92687.58719999998</v>
      </c>
      <c r="P29" s="22">
        <f t="shared" si="10"/>
        <v>91100.821499999976</v>
      </c>
      <c r="Q29" s="22">
        <f t="shared" si="10"/>
        <v>89527.323599999989</v>
      </c>
      <c r="R29" s="22">
        <f t="shared" si="10"/>
        <v>88073.077949999977</v>
      </c>
      <c r="S29" s="22">
        <f t="shared" si="10"/>
        <v>86629.888800000001</v>
      </c>
      <c r="T29" s="22">
        <f t="shared" si="10"/>
        <v>85275.562319999983</v>
      </c>
      <c r="U29" s="22">
        <f t="shared" si="10"/>
        <v>83930.333759999994</v>
      </c>
      <c r="V29" s="22">
        <f t="shared" si="10"/>
        <v>82695.670199999993</v>
      </c>
      <c r="W29" s="22">
        <f t="shared" si="10"/>
        <v>81467.83008</v>
      </c>
      <c r="X29" s="22">
        <f t="shared" si="10"/>
        <v>80246.813400000014</v>
      </c>
      <c r="Y29" s="22">
        <f t="shared" si="10"/>
        <v>79032.620159999991</v>
      </c>
      <c r="Z29" s="22">
        <f t="shared" si="10"/>
        <v>77825.250359999976</v>
      </c>
      <c r="AA29" s="22">
        <f t="shared" si="10"/>
        <v>76433.142239999986</v>
      </c>
      <c r="AB29" s="22">
        <f t="shared" si="10"/>
        <v>74957.762879999995</v>
      </c>
      <c r="AC29" s="22">
        <f t="shared" si="10"/>
        <v>73402.524000000005</v>
      </c>
      <c r="AD29" s="22">
        <f t="shared" si="10"/>
        <v>71758.706760000001</v>
      </c>
      <c r="AE29" s="22">
        <f t="shared" si="10"/>
        <v>70131.569039999988</v>
      </c>
      <c r="AF29" s="22">
        <f t="shared" si="10"/>
        <v>68521.110839999994</v>
      </c>
      <c r="AG29" s="22">
        <f t="shared" si="10"/>
        <v>66927.332159999991</v>
      </c>
      <c r="AH29" s="22">
        <f t="shared" si="10"/>
        <v>65350.232999999993</v>
      </c>
      <c r="AI29" s="22">
        <f t="shared" si="10"/>
        <v>63874.98</v>
      </c>
      <c r="AJ29" s="22">
        <f t="shared" si="10"/>
        <v>62413.626599999996</v>
      </c>
      <c r="AK29" s="22">
        <f t="shared" si="10"/>
        <v>60966.172799999986</v>
      </c>
      <c r="AL29" s="22">
        <f t="shared" si="10"/>
        <v>59532.61859999998</v>
      </c>
      <c r="AM29" s="22">
        <f t="shared" si="10"/>
        <v>58192.570799999987</v>
      </c>
      <c r="AP29" s="3" t="s">
        <v>81</v>
      </c>
      <c r="AQ29" s="30" t="s">
        <v>82</v>
      </c>
    </row>
    <row r="30" spans="1:43" ht="17.5" customHeight="1">
      <c r="A30" s="34" t="s">
        <v>155</v>
      </c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6"/>
      <c r="AP30" s="3" t="s">
        <v>83</v>
      </c>
      <c r="AQ30" s="30" t="s">
        <v>84</v>
      </c>
    </row>
    <row r="31" spans="1:43" ht="17" customHeight="1">
      <c r="A31" s="2" t="s">
        <v>156</v>
      </c>
      <c r="B31" s="7" t="s">
        <v>157</v>
      </c>
      <c r="C31" s="20">
        <f t="shared" ref="C31:AM31" si="11">C18*450+C19*550+C20*500</f>
        <v>46284394.5</v>
      </c>
      <c r="D31" s="20">
        <f t="shared" si="11"/>
        <v>44257310.625</v>
      </c>
      <c r="E31" s="20">
        <f t="shared" si="11"/>
        <v>43771250</v>
      </c>
      <c r="F31" s="20">
        <f t="shared" si="11"/>
        <v>43322250</v>
      </c>
      <c r="G31" s="20">
        <f t="shared" si="11"/>
        <v>42873000.000000007</v>
      </c>
      <c r="H31" s="20">
        <f t="shared" si="11"/>
        <v>42423500</v>
      </c>
      <c r="I31" s="20">
        <f t="shared" si="11"/>
        <v>41973750</v>
      </c>
      <c r="J31" s="20">
        <f t="shared" si="11"/>
        <v>41548500</v>
      </c>
      <c r="K31" s="20">
        <f t="shared" si="11"/>
        <v>41122450</v>
      </c>
      <c r="L31" s="20">
        <f t="shared" si="11"/>
        <v>40603110</v>
      </c>
      <c r="M31" s="20">
        <f t="shared" si="11"/>
        <v>40082810</v>
      </c>
      <c r="N31" s="20">
        <f t="shared" si="11"/>
        <v>39607875</v>
      </c>
      <c r="O31" s="20">
        <f t="shared" si="11"/>
        <v>39364160</v>
      </c>
      <c r="P31" s="20">
        <f t="shared" si="11"/>
        <v>39165630</v>
      </c>
      <c r="Q31" s="20">
        <f t="shared" si="11"/>
        <v>38965960</v>
      </c>
      <c r="R31" s="20">
        <f t="shared" si="11"/>
        <v>38811855</v>
      </c>
      <c r="S31" s="20">
        <f t="shared" si="11"/>
        <v>38656800</v>
      </c>
      <c r="T31" s="20">
        <f t="shared" si="11"/>
        <v>38551800</v>
      </c>
      <c r="U31" s="20">
        <f t="shared" si="11"/>
        <v>38446000</v>
      </c>
      <c r="V31" s="20">
        <f t="shared" si="11"/>
        <v>38386500</v>
      </c>
      <c r="W31" s="20">
        <f t="shared" si="11"/>
        <v>38326400</v>
      </c>
      <c r="X31" s="20">
        <f t="shared" si="11"/>
        <v>38265700</v>
      </c>
      <c r="Y31" s="20">
        <f t="shared" si="11"/>
        <v>38204400</v>
      </c>
      <c r="Z31" s="20">
        <f t="shared" si="11"/>
        <v>38142500</v>
      </c>
      <c r="AA31" s="20">
        <f t="shared" si="11"/>
        <v>37984800</v>
      </c>
      <c r="AB31" s="20">
        <f t="shared" si="11"/>
        <v>37778400</v>
      </c>
      <c r="AC31" s="20">
        <f t="shared" si="11"/>
        <v>37523000</v>
      </c>
      <c r="AD31" s="20">
        <f t="shared" si="11"/>
        <v>37329680</v>
      </c>
      <c r="AE31" s="20">
        <f t="shared" si="11"/>
        <v>37134920</v>
      </c>
      <c r="AF31" s="20">
        <f t="shared" si="11"/>
        <v>36938720</v>
      </c>
      <c r="AG31" s="20">
        <f t="shared" si="11"/>
        <v>36741080</v>
      </c>
      <c r="AH31" s="20">
        <f t="shared" si="11"/>
        <v>36542000</v>
      </c>
      <c r="AI31" s="20">
        <f t="shared" si="11"/>
        <v>36390000</v>
      </c>
      <c r="AJ31" s="20">
        <f t="shared" si="11"/>
        <v>36236800</v>
      </c>
      <c r="AK31" s="20">
        <f t="shared" si="11"/>
        <v>36082400</v>
      </c>
      <c r="AL31" s="20">
        <f t="shared" si="11"/>
        <v>35926800</v>
      </c>
      <c r="AM31" s="20">
        <f t="shared" si="11"/>
        <v>35819000</v>
      </c>
    </row>
    <row r="32" spans="1:43" ht="17" customHeight="1">
      <c r="A32" s="2" t="s">
        <v>158</v>
      </c>
      <c r="B32" s="7" t="s">
        <v>157</v>
      </c>
      <c r="C32" s="23">
        <v>0</v>
      </c>
      <c r="D32" s="23">
        <v>1.666666666666667E-2</v>
      </c>
      <c r="E32" s="23">
        <v>3.3333333333333333E-2</v>
      </c>
      <c r="F32" s="23">
        <v>0.05</v>
      </c>
      <c r="G32" s="23">
        <v>6.6666666666666666E-2</v>
      </c>
      <c r="H32" s="23">
        <v>8.3333333333333343E-2</v>
      </c>
      <c r="I32" s="23">
        <v>0.1</v>
      </c>
      <c r="J32" s="23">
        <v>0.12</v>
      </c>
      <c r="K32" s="23">
        <v>0.14000000000000001</v>
      </c>
      <c r="L32" s="23">
        <v>0.16</v>
      </c>
      <c r="M32" s="23">
        <v>0.18</v>
      </c>
      <c r="N32" s="23">
        <v>0.2</v>
      </c>
      <c r="O32" s="23">
        <v>0.23</v>
      </c>
      <c r="P32" s="23">
        <v>0.26</v>
      </c>
      <c r="Q32" s="23">
        <v>0.28999999999999998</v>
      </c>
      <c r="R32" s="23">
        <v>0.32</v>
      </c>
      <c r="S32" s="23">
        <v>0.35</v>
      </c>
      <c r="T32" s="23">
        <v>0.36699999999999999</v>
      </c>
      <c r="U32" s="23">
        <v>0.38400000000000001</v>
      </c>
      <c r="V32" s="23">
        <v>0.40100000000000002</v>
      </c>
      <c r="W32" s="23">
        <v>0.41799999999999998</v>
      </c>
      <c r="X32" s="23">
        <v>0.435</v>
      </c>
      <c r="Y32" s="23">
        <v>0.45200000000000001</v>
      </c>
      <c r="Z32" s="23">
        <v>0.46899999999999997</v>
      </c>
      <c r="AA32" s="23">
        <v>0.48599999999999999</v>
      </c>
      <c r="AB32" s="23">
        <v>0.503</v>
      </c>
      <c r="AC32" s="23">
        <v>0.52</v>
      </c>
      <c r="AD32" s="23">
        <v>0.54</v>
      </c>
      <c r="AE32" s="23">
        <v>0.56000000000000005</v>
      </c>
      <c r="AF32" s="23">
        <v>0.57999999999999996</v>
      </c>
      <c r="AG32" s="23">
        <v>0.6</v>
      </c>
      <c r="AH32" s="23">
        <v>0.62</v>
      </c>
      <c r="AI32" s="23">
        <v>0.64</v>
      </c>
      <c r="AJ32" s="23">
        <v>0.65999999999999992</v>
      </c>
      <c r="AK32" s="23">
        <v>0.67999999999999994</v>
      </c>
      <c r="AL32" s="23">
        <v>0.7</v>
      </c>
      <c r="AM32" s="23">
        <v>0.72</v>
      </c>
    </row>
    <row r="33" spans="1:39" ht="17" customHeight="1">
      <c r="A33" s="2" t="s">
        <v>159</v>
      </c>
      <c r="B33" s="7" t="s">
        <v>157</v>
      </c>
      <c r="C33" s="20">
        <f t="shared" ref="C33:AM33" si="12">C31*C32</f>
        <v>0</v>
      </c>
      <c r="D33" s="20">
        <f t="shared" si="12"/>
        <v>737621.84375000012</v>
      </c>
      <c r="E33" s="20">
        <f t="shared" si="12"/>
        <v>1459041.6666666667</v>
      </c>
      <c r="F33" s="20">
        <f t="shared" si="12"/>
        <v>2166112.5</v>
      </c>
      <c r="G33" s="20">
        <f t="shared" si="12"/>
        <v>2858200.0000000005</v>
      </c>
      <c r="H33" s="20">
        <f t="shared" si="12"/>
        <v>3535291.666666667</v>
      </c>
      <c r="I33" s="20">
        <f t="shared" si="12"/>
        <v>4197375</v>
      </c>
      <c r="J33" s="20">
        <f t="shared" si="12"/>
        <v>4985820</v>
      </c>
      <c r="K33" s="20">
        <f t="shared" si="12"/>
        <v>5757143.0000000009</v>
      </c>
      <c r="L33" s="20">
        <f t="shared" si="12"/>
        <v>6496497.6000000006</v>
      </c>
      <c r="M33" s="20">
        <f t="shared" si="12"/>
        <v>7214905.7999999998</v>
      </c>
      <c r="N33" s="20">
        <f t="shared" si="12"/>
        <v>7921575</v>
      </c>
      <c r="O33" s="20">
        <f t="shared" si="12"/>
        <v>9053756.8000000007</v>
      </c>
      <c r="P33" s="20">
        <f t="shared" si="12"/>
        <v>10183063.800000001</v>
      </c>
      <c r="Q33" s="20">
        <f t="shared" si="12"/>
        <v>11300128.399999999</v>
      </c>
      <c r="R33" s="20">
        <f t="shared" si="12"/>
        <v>12419793.6</v>
      </c>
      <c r="S33" s="20">
        <f t="shared" si="12"/>
        <v>13529880</v>
      </c>
      <c r="T33" s="20">
        <f t="shared" si="12"/>
        <v>14148510.6</v>
      </c>
      <c r="U33" s="20">
        <f t="shared" si="12"/>
        <v>14763264</v>
      </c>
      <c r="V33" s="20">
        <f t="shared" si="12"/>
        <v>15392986.5</v>
      </c>
      <c r="W33" s="20">
        <f t="shared" si="12"/>
        <v>16020435.199999999</v>
      </c>
      <c r="X33" s="20">
        <f t="shared" si="12"/>
        <v>16645579.5</v>
      </c>
      <c r="Y33" s="20">
        <f t="shared" si="12"/>
        <v>17268388.800000001</v>
      </c>
      <c r="Z33" s="20">
        <f t="shared" si="12"/>
        <v>17888832.5</v>
      </c>
      <c r="AA33" s="20">
        <f t="shared" si="12"/>
        <v>18460612.800000001</v>
      </c>
      <c r="AB33" s="20">
        <f t="shared" si="12"/>
        <v>19002535.199999999</v>
      </c>
      <c r="AC33" s="20">
        <f t="shared" si="12"/>
        <v>19511960</v>
      </c>
      <c r="AD33" s="20">
        <f t="shared" si="12"/>
        <v>20158027.200000003</v>
      </c>
      <c r="AE33" s="20">
        <f t="shared" si="12"/>
        <v>20795555.200000003</v>
      </c>
      <c r="AF33" s="20">
        <f t="shared" si="12"/>
        <v>21424457.599999998</v>
      </c>
      <c r="AG33" s="20">
        <f t="shared" si="12"/>
        <v>22044648</v>
      </c>
      <c r="AH33" s="20">
        <f t="shared" si="12"/>
        <v>22656040</v>
      </c>
      <c r="AI33" s="20">
        <f t="shared" si="12"/>
        <v>23289600</v>
      </c>
      <c r="AJ33" s="20">
        <f t="shared" si="12"/>
        <v>23916287.999999996</v>
      </c>
      <c r="AK33" s="20">
        <f t="shared" si="12"/>
        <v>24536031.999999996</v>
      </c>
      <c r="AL33" s="20">
        <f t="shared" si="12"/>
        <v>25148760</v>
      </c>
      <c r="AM33" s="20">
        <f t="shared" si="12"/>
        <v>25789680</v>
      </c>
    </row>
    <row r="34" spans="1:39" ht="17.5" customHeight="1">
      <c r="A34" s="34" t="s">
        <v>160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6"/>
    </row>
    <row r="35" spans="1:39" ht="46" customHeight="1">
      <c r="A35" s="14" t="s">
        <v>161</v>
      </c>
      <c r="B35" s="7" t="s">
        <v>162</v>
      </c>
      <c r="C35" s="24" t="s">
        <v>163</v>
      </c>
      <c r="D35" s="24" t="s">
        <v>164</v>
      </c>
      <c r="E35" s="24" t="s">
        <v>165</v>
      </c>
      <c r="F35" s="24" t="s">
        <v>166</v>
      </c>
      <c r="G35" s="24" t="s">
        <v>167</v>
      </c>
      <c r="H35" s="24" t="s">
        <v>168</v>
      </c>
      <c r="I35" s="24" t="s">
        <v>166</v>
      </c>
      <c r="J35" s="24" t="s">
        <v>169</v>
      </c>
      <c r="K35" s="24" t="s">
        <v>170</v>
      </c>
      <c r="L35" s="24" t="s">
        <v>171</v>
      </c>
      <c r="M35" s="24" t="s">
        <v>172</v>
      </c>
      <c r="N35" s="24" t="s">
        <v>173</v>
      </c>
      <c r="O35" s="24" t="s">
        <v>174</v>
      </c>
      <c r="P35" s="24" t="s">
        <v>175</v>
      </c>
      <c r="Q35" s="24" t="s">
        <v>166</v>
      </c>
      <c r="R35" s="24" t="s">
        <v>166</v>
      </c>
      <c r="S35" s="24" t="s">
        <v>166</v>
      </c>
      <c r="T35" s="24" t="s">
        <v>166</v>
      </c>
      <c r="U35" s="24" t="s">
        <v>166</v>
      </c>
      <c r="V35" s="24" t="s">
        <v>176</v>
      </c>
      <c r="W35" s="24" t="s">
        <v>166</v>
      </c>
      <c r="X35" s="24" t="s">
        <v>166</v>
      </c>
      <c r="Y35" s="24" t="s">
        <v>166</v>
      </c>
      <c r="Z35" s="24" t="s">
        <v>177</v>
      </c>
      <c r="AA35" s="24" t="s">
        <v>166</v>
      </c>
      <c r="AB35" s="24" t="s">
        <v>166</v>
      </c>
      <c r="AC35" s="24" t="s">
        <v>166</v>
      </c>
      <c r="AD35" s="24" t="s">
        <v>166</v>
      </c>
      <c r="AE35" s="24" t="s">
        <v>166</v>
      </c>
      <c r="AF35" s="24" t="s">
        <v>166</v>
      </c>
      <c r="AG35" s="24" t="s">
        <v>166</v>
      </c>
      <c r="AH35" s="24" t="s">
        <v>166</v>
      </c>
      <c r="AI35" s="24" t="s">
        <v>166</v>
      </c>
      <c r="AJ35" s="24" t="s">
        <v>166</v>
      </c>
      <c r="AK35" s="24" t="s">
        <v>166</v>
      </c>
      <c r="AL35" s="24" t="s">
        <v>166</v>
      </c>
      <c r="AM35" s="24" t="s">
        <v>166</v>
      </c>
    </row>
    <row r="36" spans="1:39" ht="17" customHeight="1">
      <c r="A36" s="2" t="s">
        <v>178</v>
      </c>
      <c r="B36" s="7" t="s">
        <v>179</v>
      </c>
      <c r="C36" s="25">
        <v>0</v>
      </c>
      <c r="D36" s="25">
        <v>5.0000000000000001E-4</v>
      </c>
      <c r="E36" s="25">
        <v>1E-3</v>
      </c>
      <c r="F36" s="25">
        <v>1.5E-3</v>
      </c>
      <c r="G36" s="25">
        <v>2E-3</v>
      </c>
      <c r="H36" s="25">
        <v>2.5000000000000001E-3</v>
      </c>
      <c r="I36" s="25">
        <v>3.0000000000000001E-3</v>
      </c>
      <c r="J36" s="25">
        <v>4.4000000000000003E-3</v>
      </c>
      <c r="K36" s="25">
        <v>5.7999999999999996E-3</v>
      </c>
      <c r="L36" s="25">
        <v>7.1999999999999998E-3</v>
      </c>
      <c r="M36" s="25">
        <v>8.6E-3</v>
      </c>
      <c r="N36" s="25">
        <v>0.01</v>
      </c>
      <c r="O36" s="25">
        <v>1.1599999999999999E-2</v>
      </c>
      <c r="P36" s="25">
        <v>1.32E-2</v>
      </c>
      <c r="Q36" s="25">
        <v>1.4800000000000001E-2</v>
      </c>
      <c r="R36" s="25">
        <v>1.6400000000000001E-2</v>
      </c>
      <c r="S36" s="25">
        <v>1.7999999999999999E-2</v>
      </c>
      <c r="T36" s="25">
        <v>1.84E-2</v>
      </c>
      <c r="U36" s="25">
        <v>1.8800000000000001E-2</v>
      </c>
      <c r="V36" s="25">
        <v>1.9199999999999998E-2</v>
      </c>
      <c r="W36" s="25">
        <v>1.9599999999999999E-2</v>
      </c>
      <c r="X36" s="25">
        <v>0.02</v>
      </c>
      <c r="Y36" s="25">
        <v>2.0400000000000001E-2</v>
      </c>
      <c r="Z36" s="25">
        <v>2.0799999999999999E-2</v>
      </c>
      <c r="AA36" s="25">
        <v>2.12E-2</v>
      </c>
      <c r="AB36" s="25">
        <v>2.1600000000000001E-2</v>
      </c>
      <c r="AC36" s="25">
        <v>2.1999999999999999E-2</v>
      </c>
      <c r="AD36" s="25">
        <v>2.1299999999999999E-2</v>
      </c>
      <c r="AE36" s="25">
        <v>2.06E-2</v>
      </c>
      <c r="AF36" s="25">
        <v>1.9900000000000001E-2</v>
      </c>
      <c r="AG36" s="25">
        <v>1.9199999999999998E-2</v>
      </c>
      <c r="AH36" s="25">
        <v>1.8499999999999999E-2</v>
      </c>
      <c r="AI36" s="25">
        <v>1.78E-2</v>
      </c>
      <c r="AJ36" s="25">
        <v>1.7100000000000001E-2</v>
      </c>
      <c r="AK36" s="25">
        <v>1.6400000000000001E-2</v>
      </c>
      <c r="AL36" s="25">
        <v>1.5699999999999999E-2</v>
      </c>
      <c r="AM36" s="25">
        <v>1.4999999999999999E-2</v>
      </c>
    </row>
    <row r="37" spans="1:39" ht="17" customHeight="1">
      <c r="A37" s="4" t="s">
        <v>180</v>
      </c>
      <c r="B37" s="7" t="e">
        <f>上年累计+当年新增</f>
        <v>#NAME?</v>
      </c>
      <c r="C37" s="26">
        <f>C36</f>
        <v>0</v>
      </c>
      <c r="D37" s="26">
        <f t="shared" ref="D37:AM37" si="13">C37+D36</f>
        <v>5.0000000000000001E-4</v>
      </c>
      <c r="E37" s="26">
        <f t="shared" si="13"/>
        <v>1.5E-3</v>
      </c>
      <c r="F37" s="26">
        <f t="shared" si="13"/>
        <v>3.0000000000000001E-3</v>
      </c>
      <c r="G37" s="26">
        <f t="shared" si="13"/>
        <v>5.0000000000000001E-3</v>
      </c>
      <c r="H37" s="26">
        <f t="shared" si="13"/>
        <v>7.4999999999999997E-3</v>
      </c>
      <c r="I37" s="26">
        <f t="shared" si="13"/>
        <v>1.0499999999999999E-2</v>
      </c>
      <c r="J37" s="26">
        <f t="shared" si="13"/>
        <v>1.49E-2</v>
      </c>
      <c r="K37" s="26">
        <f t="shared" si="13"/>
        <v>2.07E-2</v>
      </c>
      <c r="L37" s="26">
        <f t="shared" si="13"/>
        <v>2.7900000000000001E-2</v>
      </c>
      <c r="M37" s="26">
        <f t="shared" si="13"/>
        <v>3.6500000000000005E-2</v>
      </c>
      <c r="N37" s="26">
        <f t="shared" si="13"/>
        <v>4.6500000000000007E-2</v>
      </c>
      <c r="O37" s="26">
        <f t="shared" si="13"/>
        <v>5.8100000000000006E-2</v>
      </c>
      <c r="P37" s="26">
        <f t="shared" si="13"/>
        <v>7.1300000000000002E-2</v>
      </c>
      <c r="Q37" s="26">
        <f t="shared" si="13"/>
        <v>8.610000000000001E-2</v>
      </c>
      <c r="R37" s="26">
        <f t="shared" si="13"/>
        <v>0.10250000000000001</v>
      </c>
      <c r="S37" s="26">
        <f t="shared" si="13"/>
        <v>0.12050000000000001</v>
      </c>
      <c r="T37" s="26">
        <f t="shared" si="13"/>
        <v>0.13890000000000002</v>
      </c>
      <c r="U37" s="26">
        <f t="shared" si="13"/>
        <v>0.15770000000000003</v>
      </c>
      <c r="V37" s="26">
        <f t="shared" si="13"/>
        <v>0.17690000000000003</v>
      </c>
      <c r="W37" s="26">
        <f t="shared" si="13"/>
        <v>0.19650000000000004</v>
      </c>
      <c r="X37" s="26">
        <f t="shared" si="13"/>
        <v>0.21650000000000003</v>
      </c>
      <c r="Y37" s="26">
        <f t="shared" si="13"/>
        <v>0.23690000000000003</v>
      </c>
      <c r="Z37" s="26">
        <f t="shared" si="13"/>
        <v>0.25770000000000004</v>
      </c>
      <c r="AA37" s="26">
        <f t="shared" si="13"/>
        <v>0.27890000000000004</v>
      </c>
      <c r="AB37" s="26">
        <f t="shared" si="13"/>
        <v>0.30050000000000004</v>
      </c>
      <c r="AC37" s="26">
        <f t="shared" si="13"/>
        <v>0.32250000000000006</v>
      </c>
      <c r="AD37" s="26">
        <f t="shared" si="13"/>
        <v>0.34380000000000005</v>
      </c>
      <c r="AE37" s="26">
        <f t="shared" si="13"/>
        <v>0.36440000000000006</v>
      </c>
      <c r="AF37" s="26">
        <f t="shared" si="13"/>
        <v>0.38430000000000009</v>
      </c>
      <c r="AG37" s="26">
        <f t="shared" si="13"/>
        <v>0.40350000000000008</v>
      </c>
      <c r="AH37" s="26">
        <f t="shared" si="13"/>
        <v>0.4220000000000001</v>
      </c>
      <c r="AI37" s="26">
        <f t="shared" si="13"/>
        <v>0.43980000000000008</v>
      </c>
      <c r="AJ37" s="26">
        <f t="shared" si="13"/>
        <v>0.45690000000000008</v>
      </c>
      <c r="AK37" s="26">
        <f t="shared" si="13"/>
        <v>0.47330000000000011</v>
      </c>
      <c r="AL37" s="26">
        <f t="shared" si="13"/>
        <v>0.4890000000000001</v>
      </c>
      <c r="AM37" s="26">
        <f t="shared" si="13"/>
        <v>0.50400000000000011</v>
      </c>
    </row>
    <row r="38" spans="1:39" ht="15" customHeight="1">
      <c r="A38" s="7" t="s">
        <v>181</v>
      </c>
      <c r="B38" s="7" t="e">
        <f>模型累计+0.066</f>
        <v>#NAME?</v>
      </c>
      <c r="C38" s="27">
        <f t="shared" ref="C38:AM38" si="14">C37+0.066</f>
        <v>6.6000000000000003E-2</v>
      </c>
      <c r="D38" s="27">
        <f t="shared" si="14"/>
        <v>6.6500000000000004E-2</v>
      </c>
      <c r="E38" s="27">
        <f t="shared" si="14"/>
        <v>6.7500000000000004E-2</v>
      </c>
      <c r="F38" s="27">
        <f t="shared" si="14"/>
        <v>6.9000000000000006E-2</v>
      </c>
      <c r="G38" s="27">
        <f t="shared" si="14"/>
        <v>7.1000000000000008E-2</v>
      </c>
      <c r="H38" s="27">
        <f t="shared" si="14"/>
        <v>7.350000000000001E-2</v>
      </c>
      <c r="I38" s="27">
        <f t="shared" si="14"/>
        <v>7.6499999999999999E-2</v>
      </c>
      <c r="J38" s="27">
        <f t="shared" si="14"/>
        <v>8.09E-2</v>
      </c>
      <c r="K38" s="27">
        <f t="shared" si="14"/>
        <v>8.6699999999999999E-2</v>
      </c>
      <c r="L38" s="27">
        <f t="shared" si="14"/>
        <v>9.3900000000000011E-2</v>
      </c>
      <c r="M38" s="27">
        <f t="shared" si="14"/>
        <v>0.10250000000000001</v>
      </c>
      <c r="N38" s="27">
        <f t="shared" si="14"/>
        <v>0.11250000000000002</v>
      </c>
      <c r="O38" s="27">
        <f t="shared" si="14"/>
        <v>0.12410000000000002</v>
      </c>
      <c r="P38" s="27">
        <f t="shared" si="14"/>
        <v>0.13730000000000001</v>
      </c>
      <c r="Q38" s="27">
        <f t="shared" si="14"/>
        <v>0.15210000000000001</v>
      </c>
      <c r="R38" s="27">
        <f t="shared" si="14"/>
        <v>0.16850000000000001</v>
      </c>
      <c r="S38" s="27">
        <f t="shared" si="14"/>
        <v>0.1865</v>
      </c>
      <c r="T38" s="27">
        <f t="shared" si="14"/>
        <v>0.20490000000000003</v>
      </c>
      <c r="U38" s="27">
        <f t="shared" si="14"/>
        <v>0.22370000000000004</v>
      </c>
      <c r="V38" s="27">
        <f t="shared" si="14"/>
        <v>0.24290000000000003</v>
      </c>
      <c r="W38" s="27">
        <f t="shared" si="14"/>
        <v>0.26250000000000007</v>
      </c>
      <c r="X38" s="27">
        <f t="shared" si="14"/>
        <v>0.28250000000000003</v>
      </c>
      <c r="Y38" s="27">
        <f t="shared" si="14"/>
        <v>0.30290000000000006</v>
      </c>
      <c r="Z38" s="27">
        <f t="shared" si="14"/>
        <v>0.32370000000000004</v>
      </c>
      <c r="AA38" s="27">
        <f t="shared" si="14"/>
        <v>0.34490000000000004</v>
      </c>
      <c r="AB38" s="27">
        <f t="shared" si="14"/>
        <v>0.36650000000000005</v>
      </c>
      <c r="AC38" s="27">
        <f t="shared" si="14"/>
        <v>0.38850000000000007</v>
      </c>
      <c r="AD38" s="27">
        <f t="shared" si="14"/>
        <v>0.40980000000000005</v>
      </c>
      <c r="AE38" s="27">
        <f t="shared" si="14"/>
        <v>0.43040000000000006</v>
      </c>
      <c r="AF38" s="27">
        <f t="shared" si="14"/>
        <v>0.45030000000000009</v>
      </c>
      <c r="AG38" s="27">
        <f t="shared" si="14"/>
        <v>0.46950000000000008</v>
      </c>
      <c r="AH38" s="27">
        <f t="shared" si="14"/>
        <v>0.4880000000000001</v>
      </c>
      <c r="AI38" s="27">
        <f t="shared" si="14"/>
        <v>0.50580000000000003</v>
      </c>
      <c r="AJ38" s="27">
        <f t="shared" si="14"/>
        <v>0.52290000000000014</v>
      </c>
      <c r="AK38" s="27">
        <f t="shared" si="14"/>
        <v>0.53930000000000011</v>
      </c>
      <c r="AL38" s="27">
        <f t="shared" si="14"/>
        <v>0.55500000000000016</v>
      </c>
      <c r="AM38" s="27">
        <f t="shared" si="14"/>
        <v>0.57000000000000006</v>
      </c>
    </row>
    <row r="39" spans="1:39" ht="17.5" customHeight="1">
      <c r="A39" s="34" t="s">
        <v>182</v>
      </c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6"/>
    </row>
    <row r="40" spans="1:39">
      <c r="A40" s="40" t="s">
        <v>183</v>
      </c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6"/>
    </row>
    <row r="41" spans="1:39" ht="17" customHeight="1">
      <c r="A41" s="2" t="s">
        <v>184</v>
      </c>
      <c r="B41" s="7" t="e">
        <f>粗钢产量×1.95</f>
        <v>#NAME?</v>
      </c>
      <c r="C41" s="20">
        <f t="shared" ref="C41:AM41" si="15">C13*1.95</f>
        <v>195992.55</v>
      </c>
      <c r="D41" s="20">
        <f t="shared" si="15"/>
        <v>187357.94999999998</v>
      </c>
      <c r="E41" s="20">
        <f t="shared" si="15"/>
        <v>185250</v>
      </c>
      <c r="F41" s="20">
        <f t="shared" si="15"/>
        <v>183300</v>
      </c>
      <c r="G41" s="20">
        <f t="shared" si="15"/>
        <v>181350</v>
      </c>
      <c r="H41" s="20">
        <f t="shared" si="15"/>
        <v>179400</v>
      </c>
      <c r="I41" s="20">
        <f t="shared" si="15"/>
        <v>177450</v>
      </c>
      <c r="J41" s="20">
        <f t="shared" si="15"/>
        <v>175500</v>
      </c>
      <c r="K41" s="20">
        <f t="shared" si="15"/>
        <v>173550</v>
      </c>
      <c r="L41" s="20">
        <f t="shared" si="15"/>
        <v>171210</v>
      </c>
      <c r="M41" s="20">
        <f t="shared" si="15"/>
        <v>168870</v>
      </c>
      <c r="N41" s="20">
        <f t="shared" si="15"/>
        <v>166725</v>
      </c>
      <c r="O41" s="20">
        <f t="shared" si="15"/>
        <v>165360</v>
      </c>
      <c r="P41" s="20">
        <f t="shared" si="15"/>
        <v>164190</v>
      </c>
      <c r="Q41" s="20">
        <f t="shared" si="15"/>
        <v>163020</v>
      </c>
      <c r="R41" s="20">
        <f t="shared" si="15"/>
        <v>162045</v>
      </c>
      <c r="S41" s="20">
        <f t="shared" si="15"/>
        <v>161070</v>
      </c>
      <c r="T41" s="20">
        <f t="shared" si="15"/>
        <v>160290</v>
      </c>
      <c r="U41" s="20">
        <f t="shared" si="15"/>
        <v>159510</v>
      </c>
      <c r="V41" s="20">
        <f t="shared" si="15"/>
        <v>158925</v>
      </c>
      <c r="W41" s="20">
        <f t="shared" si="15"/>
        <v>158340</v>
      </c>
      <c r="X41" s="20">
        <f t="shared" si="15"/>
        <v>157755</v>
      </c>
      <c r="Y41" s="20">
        <f t="shared" si="15"/>
        <v>157170</v>
      </c>
      <c r="Z41" s="20">
        <f t="shared" si="15"/>
        <v>156585</v>
      </c>
      <c r="AA41" s="20">
        <f t="shared" si="15"/>
        <v>155610</v>
      </c>
      <c r="AB41" s="20">
        <f t="shared" si="15"/>
        <v>154440</v>
      </c>
      <c r="AC41" s="20">
        <f t="shared" si="15"/>
        <v>153075</v>
      </c>
      <c r="AD41" s="20">
        <f t="shared" si="15"/>
        <v>151905</v>
      </c>
      <c r="AE41" s="20">
        <f t="shared" si="15"/>
        <v>150735</v>
      </c>
      <c r="AF41" s="20">
        <f t="shared" si="15"/>
        <v>149565</v>
      </c>
      <c r="AG41" s="20">
        <f t="shared" si="15"/>
        <v>148395</v>
      </c>
      <c r="AH41" s="20">
        <f t="shared" si="15"/>
        <v>147225</v>
      </c>
      <c r="AI41" s="20">
        <f t="shared" si="15"/>
        <v>146250</v>
      </c>
      <c r="AJ41" s="20">
        <f t="shared" si="15"/>
        <v>145275</v>
      </c>
      <c r="AK41" s="20">
        <f t="shared" si="15"/>
        <v>144300</v>
      </c>
      <c r="AL41" s="20">
        <f t="shared" si="15"/>
        <v>143325</v>
      </c>
      <c r="AM41" s="20">
        <f t="shared" si="15"/>
        <v>142545</v>
      </c>
    </row>
    <row r="42" spans="1:39" ht="17" customHeight="1">
      <c r="A42" s="2" t="s">
        <v>185</v>
      </c>
      <c r="B42" s="7" t="e">
        <f>基准产量×1.95-当年曲线</f>
        <v>#NAME?</v>
      </c>
      <c r="C42" s="20">
        <f t="shared" ref="C42:AM42" si="16">100509*1.95-C41</f>
        <v>0</v>
      </c>
      <c r="D42" s="20">
        <f t="shared" si="16"/>
        <v>8634.6000000000058</v>
      </c>
      <c r="E42" s="20">
        <f t="shared" si="16"/>
        <v>10742.549999999988</v>
      </c>
      <c r="F42" s="20">
        <f t="shared" si="16"/>
        <v>12692.549999999988</v>
      </c>
      <c r="G42" s="20">
        <f t="shared" si="16"/>
        <v>14642.549999999988</v>
      </c>
      <c r="H42" s="20">
        <f t="shared" si="16"/>
        <v>16592.549999999988</v>
      </c>
      <c r="I42" s="20">
        <f t="shared" si="16"/>
        <v>18542.549999999988</v>
      </c>
      <c r="J42" s="20">
        <f t="shared" si="16"/>
        <v>20492.549999999988</v>
      </c>
      <c r="K42" s="20">
        <f t="shared" si="16"/>
        <v>22442.549999999988</v>
      </c>
      <c r="L42" s="20">
        <f t="shared" si="16"/>
        <v>24782.549999999988</v>
      </c>
      <c r="M42" s="20">
        <f t="shared" si="16"/>
        <v>27122.549999999988</v>
      </c>
      <c r="N42" s="20">
        <f t="shared" si="16"/>
        <v>29267.549999999988</v>
      </c>
      <c r="O42" s="20">
        <f t="shared" si="16"/>
        <v>30632.549999999988</v>
      </c>
      <c r="P42" s="20">
        <f t="shared" si="16"/>
        <v>31802.549999999988</v>
      </c>
      <c r="Q42" s="20">
        <f t="shared" si="16"/>
        <v>32972.549999999988</v>
      </c>
      <c r="R42" s="20">
        <f t="shared" si="16"/>
        <v>33947.549999999988</v>
      </c>
      <c r="S42" s="20">
        <f t="shared" si="16"/>
        <v>34922.549999999988</v>
      </c>
      <c r="T42" s="20">
        <f t="shared" si="16"/>
        <v>35702.549999999988</v>
      </c>
      <c r="U42" s="20">
        <f t="shared" si="16"/>
        <v>36482.549999999988</v>
      </c>
      <c r="V42" s="20">
        <f t="shared" si="16"/>
        <v>37067.549999999988</v>
      </c>
      <c r="W42" s="20">
        <f t="shared" si="16"/>
        <v>37652.549999999988</v>
      </c>
      <c r="X42" s="20">
        <f t="shared" si="16"/>
        <v>38237.549999999988</v>
      </c>
      <c r="Y42" s="20">
        <f t="shared" si="16"/>
        <v>38822.549999999988</v>
      </c>
      <c r="Z42" s="20">
        <f t="shared" si="16"/>
        <v>39407.549999999988</v>
      </c>
      <c r="AA42" s="20">
        <f t="shared" si="16"/>
        <v>40382.549999999988</v>
      </c>
      <c r="AB42" s="20">
        <f t="shared" si="16"/>
        <v>41552.549999999988</v>
      </c>
      <c r="AC42" s="20">
        <f t="shared" si="16"/>
        <v>42917.549999999988</v>
      </c>
      <c r="AD42" s="20">
        <f t="shared" si="16"/>
        <v>44087.549999999988</v>
      </c>
      <c r="AE42" s="20">
        <f t="shared" si="16"/>
        <v>45257.549999999988</v>
      </c>
      <c r="AF42" s="20">
        <f t="shared" si="16"/>
        <v>46427.549999999988</v>
      </c>
      <c r="AG42" s="20">
        <f t="shared" si="16"/>
        <v>47597.549999999988</v>
      </c>
      <c r="AH42" s="20">
        <f t="shared" si="16"/>
        <v>48767.549999999988</v>
      </c>
      <c r="AI42" s="20">
        <f t="shared" si="16"/>
        <v>49742.549999999988</v>
      </c>
      <c r="AJ42" s="20">
        <f t="shared" si="16"/>
        <v>50717.549999999988</v>
      </c>
      <c r="AK42" s="20">
        <f t="shared" si="16"/>
        <v>51692.549999999988</v>
      </c>
      <c r="AL42" s="20">
        <f t="shared" si="16"/>
        <v>52667.549999999988</v>
      </c>
      <c r="AM42" s="20">
        <f t="shared" si="16"/>
        <v>53447.549999999988</v>
      </c>
    </row>
    <row r="43" spans="1:39">
      <c r="A43" s="40" t="s">
        <v>186</v>
      </c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6"/>
    </row>
    <row r="44" spans="1:39" ht="17" customHeight="1">
      <c r="A44" s="2" t="s">
        <v>187</v>
      </c>
      <c r="B44" s="7"/>
      <c r="C44" s="20">
        <f t="shared" ref="C44:AM44" si="17">((C28-38394.44)/1.1)*(1.8-0.45)</f>
        <v>-2.4545454639750956E-3</v>
      </c>
      <c r="D44" s="20">
        <f t="shared" si="17"/>
        <v>-1977.6647045454574</v>
      </c>
      <c r="E44" s="20">
        <f t="shared" si="17"/>
        <v>-2388.4036363636451</v>
      </c>
      <c r="F44" s="20">
        <f t="shared" si="17"/>
        <v>-2763.1309090909122</v>
      </c>
      <c r="G44" s="20">
        <f t="shared" si="17"/>
        <v>-3139.9036363636392</v>
      </c>
      <c r="H44" s="20">
        <f t="shared" si="17"/>
        <v>-3518.7218181818271</v>
      </c>
      <c r="I44" s="20">
        <f t="shared" si="17"/>
        <v>-3899.5854545454572</v>
      </c>
      <c r="J44" s="20">
        <f t="shared" si="17"/>
        <v>-4065.2672727272757</v>
      </c>
      <c r="K44" s="20">
        <f t="shared" si="17"/>
        <v>-4237.8218181818193</v>
      </c>
      <c r="L44" s="20">
        <f t="shared" si="17"/>
        <v>-4514.3018181818179</v>
      </c>
      <c r="M44" s="20">
        <f t="shared" si="17"/>
        <v>-4799.02909090909</v>
      </c>
      <c r="N44" s="20">
        <f t="shared" si="17"/>
        <v>-5042.7900000000027</v>
      </c>
      <c r="O44" s="20">
        <f t="shared" si="17"/>
        <v>-4658.7763636363734</v>
      </c>
      <c r="P44" s="20">
        <f t="shared" si="17"/>
        <v>-4235.8581818181847</v>
      </c>
      <c r="Q44" s="20">
        <f t="shared" si="17"/>
        <v>-3823.249090909097</v>
      </c>
      <c r="R44" s="20">
        <f t="shared" si="17"/>
        <v>-3368.2990909091009</v>
      </c>
      <c r="S44" s="20">
        <f t="shared" si="17"/>
        <v>-2921.9400000000046</v>
      </c>
      <c r="T44" s="20">
        <f t="shared" si="17"/>
        <v>-2409.6272727272744</v>
      </c>
      <c r="U44" s="20">
        <f t="shared" si="17"/>
        <v>-1904.3836363636467</v>
      </c>
      <c r="V44" s="20">
        <f t="shared" si="17"/>
        <v>-1350.049090909092</v>
      </c>
      <c r="W44" s="20">
        <f t="shared" si="17"/>
        <v>-801.01636363636408</v>
      </c>
      <c r="X44" s="20">
        <f t="shared" si="17"/>
        <v>-257.28545454545383</v>
      </c>
      <c r="Y44" s="20">
        <f t="shared" si="17"/>
        <v>281.14363636362958</v>
      </c>
      <c r="Z44" s="20">
        <f t="shared" si="17"/>
        <v>814.27090909090407</v>
      </c>
      <c r="AA44" s="20">
        <f t="shared" si="17"/>
        <v>1220.9399999999957</v>
      </c>
      <c r="AB44" s="20">
        <f t="shared" si="17"/>
        <v>1557.310909090907</v>
      </c>
      <c r="AC44" s="20">
        <f t="shared" si="17"/>
        <v>1820.7327272727243</v>
      </c>
      <c r="AD44" s="20">
        <f t="shared" si="17"/>
        <v>2287.9799999999987</v>
      </c>
      <c r="AE44" s="20">
        <f t="shared" si="17"/>
        <v>2742.2672727272666</v>
      </c>
      <c r="AF44" s="20">
        <f t="shared" si="17"/>
        <v>3183.5945454545376</v>
      </c>
      <c r="AG44" s="20">
        <f t="shared" si="17"/>
        <v>3611.96181818182</v>
      </c>
      <c r="AH44" s="20">
        <f t="shared" si="17"/>
        <v>4027.3690909090878</v>
      </c>
      <c r="AI44" s="20">
        <f t="shared" si="17"/>
        <v>4498.6418181818153</v>
      </c>
      <c r="AJ44" s="20">
        <f t="shared" si="17"/>
        <v>4959.1145454545476</v>
      </c>
      <c r="AK44" s="20">
        <f t="shared" si="17"/>
        <v>5408.7872727272679</v>
      </c>
      <c r="AL44" s="20">
        <f t="shared" si="17"/>
        <v>5847.6599999999935</v>
      </c>
      <c r="AM44" s="20">
        <f t="shared" si="17"/>
        <v>6348.8781818181778</v>
      </c>
    </row>
    <row r="45" spans="1:39" ht="17" customHeight="1">
      <c r="A45" s="2" t="s">
        <v>188</v>
      </c>
      <c r="B45" s="7" t="e">
        <f>产量曲线-原料降碳</f>
        <v>#NAME?</v>
      </c>
      <c r="C45" s="20">
        <f t="shared" ref="C45:AM45" si="18">C41-C44</f>
        <v>195992.55245454545</v>
      </c>
      <c r="D45" s="20">
        <f t="shared" si="18"/>
        <v>189335.61470454544</v>
      </c>
      <c r="E45" s="20">
        <f t="shared" si="18"/>
        <v>187638.40363636366</v>
      </c>
      <c r="F45" s="20">
        <f t="shared" si="18"/>
        <v>186063.13090909092</v>
      </c>
      <c r="G45" s="20">
        <f t="shared" si="18"/>
        <v>184489.90363636363</v>
      </c>
      <c r="H45" s="20">
        <f t="shared" si="18"/>
        <v>182918.72181818183</v>
      </c>
      <c r="I45" s="20">
        <f t="shared" si="18"/>
        <v>181349.58545454545</v>
      </c>
      <c r="J45" s="20">
        <f t="shared" si="18"/>
        <v>179565.26727272727</v>
      </c>
      <c r="K45" s="20">
        <f t="shared" si="18"/>
        <v>177787.82181818181</v>
      </c>
      <c r="L45" s="20">
        <f t="shared" si="18"/>
        <v>175724.30181818182</v>
      </c>
      <c r="M45" s="20">
        <f t="shared" si="18"/>
        <v>173669.02909090908</v>
      </c>
      <c r="N45" s="20">
        <f t="shared" si="18"/>
        <v>171767.79</v>
      </c>
      <c r="O45" s="20">
        <f t="shared" si="18"/>
        <v>170018.77636363637</v>
      </c>
      <c r="P45" s="20">
        <f t="shared" si="18"/>
        <v>168425.85818181818</v>
      </c>
      <c r="Q45" s="20">
        <f t="shared" si="18"/>
        <v>166843.24909090908</v>
      </c>
      <c r="R45" s="20">
        <f t="shared" si="18"/>
        <v>165413.2990909091</v>
      </c>
      <c r="S45" s="20">
        <f t="shared" si="18"/>
        <v>163991.94</v>
      </c>
      <c r="T45" s="20">
        <f t="shared" si="18"/>
        <v>162699.62727272729</v>
      </c>
      <c r="U45" s="20">
        <f t="shared" si="18"/>
        <v>161414.38363636364</v>
      </c>
      <c r="V45" s="20">
        <f t="shared" si="18"/>
        <v>160275.0490909091</v>
      </c>
      <c r="W45" s="20">
        <f t="shared" si="18"/>
        <v>159141.01636363636</v>
      </c>
      <c r="X45" s="20">
        <f t="shared" si="18"/>
        <v>158012.28545454546</v>
      </c>
      <c r="Y45" s="20">
        <f t="shared" si="18"/>
        <v>156888.85636363638</v>
      </c>
      <c r="Z45" s="20">
        <f t="shared" si="18"/>
        <v>155770.7290909091</v>
      </c>
      <c r="AA45" s="20">
        <f t="shared" si="18"/>
        <v>154389.06</v>
      </c>
      <c r="AB45" s="20">
        <f t="shared" si="18"/>
        <v>152882.68909090909</v>
      </c>
      <c r="AC45" s="20">
        <f t="shared" si="18"/>
        <v>151254.26727272727</v>
      </c>
      <c r="AD45" s="20">
        <f t="shared" si="18"/>
        <v>149617.01999999999</v>
      </c>
      <c r="AE45" s="20">
        <f t="shared" si="18"/>
        <v>147992.73272727273</v>
      </c>
      <c r="AF45" s="20">
        <f t="shared" si="18"/>
        <v>146381.40545454546</v>
      </c>
      <c r="AG45" s="20">
        <f t="shared" si="18"/>
        <v>144783.03818181818</v>
      </c>
      <c r="AH45" s="20">
        <f t="shared" si="18"/>
        <v>143197.63090909092</v>
      </c>
      <c r="AI45" s="20">
        <f t="shared" si="18"/>
        <v>141751.35818181818</v>
      </c>
      <c r="AJ45" s="20">
        <f t="shared" si="18"/>
        <v>140315.88545454544</v>
      </c>
      <c r="AK45" s="20">
        <f t="shared" si="18"/>
        <v>138891.21272727274</v>
      </c>
      <c r="AL45" s="20">
        <f t="shared" si="18"/>
        <v>137477.34</v>
      </c>
      <c r="AM45" s="20">
        <f t="shared" si="18"/>
        <v>136196.12181818183</v>
      </c>
    </row>
    <row r="46" spans="1:39">
      <c r="A46" s="40" t="s">
        <v>189</v>
      </c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6"/>
    </row>
    <row r="47" spans="1:39" ht="17" customHeight="1">
      <c r="A47" s="2" t="s">
        <v>190</v>
      </c>
      <c r="B47" s="7"/>
      <c r="C47" s="20">
        <f t="shared" ref="C47:AM47" si="19">(C25-11055.99)*1.26</f>
        <v>0</v>
      </c>
      <c r="D47" s="20">
        <f t="shared" si="19"/>
        <v>-502.74724500000264</v>
      </c>
      <c r="E47" s="20">
        <f t="shared" si="19"/>
        <v>-544.0973999999959</v>
      </c>
      <c r="F47" s="20">
        <f t="shared" si="19"/>
        <v>-576.43739999999968</v>
      </c>
      <c r="G47" s="20">
        <f t="shared" si="19"/>
        <v>-611.08740000000205</v>
      </c>
      <c r="H47" s="20">
        <f t="shared" si="19"/>
        <v>-648.04739999999595</v>
      </c>
      <c r="I47" s="20">
        <f t="shared" si="19"/>
        <v>-687.31739999999968</v>
      </c>
      <c r="J47" s="20">
        <f t="shared" si="19"/>
        <v>-458.62739999999513</v>
      </c>
      <c r="K47" s="20">
        <f t="shared" si="19"/>
        <v>-238.2533999999979</v>
      </c>
      <c r="L47" s="20">
        <f t="shared" si="19"/>
        <v>-57.79619999999872</v>
      </c>
      <c r="M47" s="20">
        <f t="shared" si="19"/>
        <v>112.68180000000037</v>
      </c>
      <c r="N47" s="20">
        <f t="shared" si="19"/>
        <v>289.81260000000259</v>
      </c>
      <c r="O47" s="20">
        <f t="shared" si="19"/>
        <v>1113.6510000000005</v>
      </c>
      <c r="P47" s="20">
        <f t="shared" si="19"/>
        <v>1940.8158000000021</v>
      </c>
      <c r="Q47" s="20">
        <f t="shared" si="19"/>
        <v>2754.6750000000002</v>
      </c>
      <c r="R47" s="20">
        <f t="shared" si="19"/>
        <v>3576.2958000000021</v>
      </c>
      <c r="S47" s="20">
        <f t="shared" si="19"/>
        <v>4386.8286000000007</v>
      </c>
      <c r="T47" s="20">
        <f t="shared" si="19"/>
        <v>5209.5582000000022</v>
      </c>
      <c r="U47" s="20">
        <f t="shared" si="19"/>
        <v>6023.4174000000021</v>
      </c>
      <c r="V47" s="20">
        <f t="shared" si="19"/>
        <v>6853.9086000000034</v>
      </c>
      <c r="W47" s="20">
        <f t="shared" si="19"/>
        <v>7677.747000000003</v>
      </c>
      <c r="X47" s="20">
        <f t="shared" si="19"/>
        <v>8494.9326000000001</v>
      </c>
      <c r="Y47" s="20">
        <f t="shared" si="19"/>
        <v>9305.4654000000028</v>
      </c>
      <c r="Z47" s="20">
        <f t="shared" si="19"/>
        <v>10109.345400000004</v>
      </c>
      <c r="AA47" s="20">
        <f t="shared" si="19"/>
        <v>10844.479800000001</v>
      </c>
      <c r="AB47" s="20">
        <f t="shared" si="19"/>
        <v>11536.371000000005</v>
      </c>
      <c r="AC47" s="20">
        <f t="shared" si="19"/>
        <v>12181.6926</v>
      </c>
      <c r="AD47" s="20">
        <f t="shared" si="19"/>
        <v>13061.802600000001</v>
      </c>
      <c r="AE47" s="20">
        <f t="shared" si="19"/>
        <v>13925.280600000004</v>
      </c>
      <c r="AF47" s="20">
        <f t="shared" si="19"/>
        <v>14772.126600000001</v>
      </c>
      <c r="AG47" s="20">
        <f t="shared" si="19"/>
        <v>15602.340600000003</v>
      </c>
      <c r="AH47" s="20">
        <f t="shared" si="19"/>
        <v>16415.922600000005</v>
      </c>
      <c r="AI47" s="20">
        <f t="shared" si="19"/>
        <v>17254.452600000004</v>
      </c>
      <c r="AJ47" s="20">
        <f t="shared" si="19"/>
        <v>18079.122600000006</v>
      </c>
      <c r="AK47" s="20">
        <f t="shared" si="19"/>
        <v>18889.932600000004</v>
      </c>
      <c r="AL47" s="20">
        <f t="shared" si="19"/>
        <v>19686.882600000004</v>
      </c>
      <c r="AM47" s="20">
        <f t="shared" si="19"/>
        <v>20517.096600000001</v>
      </c>
    </row>
    <row r="48" spans="1:39" ht="17" customHeight="1">
      <c r="A48" s="2" t="s">
        <v>191</v>
      </c>
      <c r="B48" s="7" t="e">
        <f>原料曲线-短流程降碳</f>
        <v>#NAME?</v>
      </c>
      <c r="C48" s="20">
        <f t="shared" ref="C48:AM48" si="20">C45-C47</f>
        <v>195992.55245454545</v>
      </c>
      <c r="D48" s="20">
        <f t="shared" si="20"/>
        <v>189838.36194954545</v>
      </c>
      <c r="E48" s="20">
        <f t="shared" si="20"/>
        <v>188182.50103636365</v>
      </c>
      <c r="F48" s="20">
        <f t="shared" si="20"/>
        <v>186639.56830909092</v>
      </c>
      <c r="G48" s="20">
        <f t="shared" si="20"/>
        <v>185100.99103636362</v>
      </c>
      <c r="H48" s="20">
        <f t="shared" si="20"/>
        <v>183566.76921818184</v>
      </c>
      <c r="I48" s="20">
        <f t="shared" si="20"/>
        <v>182036.90285454545</v>
      </c>
      <c r="J48" s="20">
        <f t="shared" si="20"/>
        <v>180023.89467272727</v>
      </c>
      <c r="K48" s="20">
        <f t="shared" si="20"/>
        <v>178026.0752181818</v>
      </c>
      <c r="L48" s="20">
        <f t="shared" si="20"/>
        <v>175782.09801818183</v>
      </c>
      <c r="M48" s="20">
        <f t="shared" si="20"/>
        <v>173556.34729090909</v>
      </c>
      <c r="N48" s="20">
        <f t="shared" si="20"/>
        <v>171477.9774</v>
      </c>
      <c r="O48" s="20">
        <f t="shared" si="20"/>
        <v>168905.12536363635</v>
      </c>
      <c r="P48" s="20">
        <f t="shared" si="20"/>
        <v>166485.04238181817</v>
      </c>
      <c r="Q48" s="20">
        <f t="shared" si="20"/>
        <v>164088.5740909091</v>
      </c>
      <c r="R48" s="20">
        <f t="shared" si="20"/>
        <v>161837.00329090911</v>
      </c>
      <c r="S48" s="20">
        <f t="shared" si="20"/>
        <v>159605.11139999999</v>
      </c>
      <c r="T48" s="20">
        <f t="shared" si="20"/>
        <v>157490.06907272729</v>
      </c>
      <c r="U48" s="20">
        <f t="shared" si="20"/>
        <v>155390.96623636363</v>
      </c>
      <c r="V48" s="20">
        <f t="shared" si="20"/>
        <v>153421.14049090911</v>
      </c>
      <c r="W48" s="20">
        <f t="shared" si="20"/>
        <v>151463.26936363635</v>
      </c>
      <c r="X48" s="20">
        <f t="shared" si="20"/>
        <v>149517.35285454546</v>
      </c>
      <c r="Y48" s="20">
        <f t="shared" si="20"/>
        <v>147583.39096363637</v>
      </c>
      <c r="Z48" s="20">
        <f t="shared" si="20"/>
        <v>145661.3836909091</v>
      </c>
      <c r="AA48" s="20">
        <f t="shared" si="20"/>
        <v>143544.5802</v>
      </c>
      <c r="AB48" s="20">
        <f t="shared" si="20"/>
        <v>141346.31809090907</v>
      </c>
      <c r="AC48" s="20">
        <f t="shared" si="20"/>
        <v>139072.57467272726</v>
      </c>
      <c r="AD48" s="20">
        <f t="shared" si="20"/>
        <v>136555.21739999999</v>
      </c>
      <c r="AE48" s="20">
        <f t="shared" si="20"/>
        <v>134067.45212727273</v>
      </c>
      <c r="AF48" s="20">
        <f t="shared" si="20"/>
        <v>131609.27885454547</v>
      </c>
      <c r="AG48" s="20">
        <f t="shared" si="20"/>
        <v>129180.69758181818</v>
      </c>
      <c r="AH48" s="20">
        <f t="shared" si="20"/>
        <v>126781.70830909091</v>
      </c>
      <c r="AI48" s="20">
        <f t="shared" si="20"/>
        <v>124496.90558181818</v>
      </c>
      <c r="AJ48" s="20">
        <f t="shared" si="20"/>
        <v>122236.76285454544</v>
      </c>
      <c r="AK48" s="20">
        <f t="shared" si="20"/>
        <v>120001.28012727274</v>
      </c>
      <c r="AL48" s="20">
        <f t="shared" si="20"/>
        <v>117790.45739999998</v>
      </c>
      <c r="AM48" s="20">
        <f t="shared" si="20"/>
        <v>115679.02521818182</v>
      </c>
    </row>
    <row r="49" spans="1:39">
      <c r="A49" s="40" t="s">
        <v>192</v>
      </c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6"/>
    </row>
    <row r="50" spans="1:39" ht="17" customHeight="1">
      <c r="A50" s="2" t="s">
        <v>193</v>
      </c>
      <c r="B50" s="7"/>
      <c r="C50" s="20">
        <f t="shared" ref="C50:AM50" si="21">((C27-952.52)/1.65)*1.26</f>
        <v>2.8964727271655151E-3</v>
      </c>
      <c r="D50" s="20">
        <f t="shared" si="21"/>
        <v>25.902245154545252</v>
      </c>
      <c r="E50" s="20">
        <f t="shared" si="21"/>
        <v>74.719909090909326</v>
      </c>
      <c r="F50" s="20">
        <f t="shared" si="21"/>
        <v>122.9664545454545</v>
      </c>
      <c r="G50" s="20">
        <f t="shared" si="21"/>
        <v>170.00683636363615</v>
      </c>
      <c r="H50" s="20">
        <f t="shared" si="21"/>
        <v>215.84105454545463</v>
      </c>
      <c r="I50" s="20">
        <f t="shared" si="21"/>
        <v>260.46910909090911</v>
      </c>
      <c r="J50" s="20">
        <f t="shared" si="21"/>
        <v>379.87930909090909</v>
      </c>
      <c r="K50" s="20">
        <f t="shared" si="21"/>
        <v>496.39471636363623</v>
      </c>
      <c r="L50" s="20">
        <f t="shared" si="21"/>
        <v>606.9757985454545</v>
      </c>
      <c r="M50" s="20">
        <f t="shared" si="21"/>
        <v>714.08312945454543</v>
      </c>
      <c r="N50" s="20">
        <f t="shared" si="21"/>
        <v>819.52595454545451</v>
      </c>
      <c r="O50" s="20">
        <f t="shared" si="21"/>
        <v>990.97005381818144</v>
      </c>
      <c r="P50" s="20">
        <f t="shared" si="21"/>
        <v>1161.6180850909088</v>
      </c>
      <c r="Q50" s="20">
        <f t="shared" si="21"/>
        <v>1329.6608029090908</v>
      </c>
      <c r="R50" s="20">
        <f t="shared" si="21"/>
        <v>1497.7758905454546</v>
      </c>
      <c r="S50" s="20">
        <f t="shared" si="21"/>
        <v>1663.7198836363634</v>
      </c>
      <c r="T50" s="20">
        <f t="shared" si="21"/>
        <v>1890.0926749090913</v>
      </c>
      <c r="U50" s="20">
        <f t="shared" si="21"/>
        <v>2114.1496320000006</v>
      </c>
      <c r="V50" s="20">
        <f t="shared" si="21"/>
        <v>2339.6539854545458</v>
      </c>
      <c r="W50" s="20">
        <f t="shared" si="21"/>
        <v>2563.4214632727276</v>
      </c>
      <c r="X50" s="20">
        <f t="shared" si="21"/>
        <v>2785.4520654545454</v>
      </c>
      <c r="Y50" s="20">
        <f t="shared" si="21"/>
        <v>3005.7457919999997</v>
      </c>
      <c r="Z50" s="20">
        <f t="shared" si="21"/>
        <v>3224.3026429090905</v>
      </c>
      <c r="AA50" s="20">
        <f t="shared" si="21"/>
        <v>3430.7013643636365</v>
      </c>
      <c r="AB50" s="20">
        <f t="shared" si="21"/>
        <v>3628.7051869090915</v>
      </c>
      <c r="AC50" s="20">
        <f t="shared" si="21"/>
        <v>3817.4456727272732</v>
      </c>
      <c r="AD50" s="20">
        <f t="shared" si="21"/>
        <v>4008.2125134545458</v>
      </c>
      <c r="AE50" s="20">
        <f t="shared" si="21"/>
        <v>4195.5056029090911</v>
      </c>
      <c r="AF50" s="20">
        <f t="shared" si="21"/>
        <v>4379.3249410909075</v>
      </c>
      <c r="AG50" s="20">
        <f t="shared" si="21"/>
        <v>4559.6705280000006</v>
      </c>
      <c r="AH50" s="20">
        <f t="shared" si="21"/>
        <v>4736.5423636363621</v>
      </c>
      <c r="AI50" s="20">
        <f t="shared" si="21"/>
        <v>4917.4669090909092</v>
      </c>
      <c r="AJ50" s="20">
        <f t="shared" si="21"/>
        <v>5095.4966618181816</v>
      </c>
      <c r="AK50" s="20">
        <f t="shared" si="21"/>
        <v>5270.631621818181</v>
      </c>
      <c r="AL50" s="20">
        <f t="shared" si="21"/>
        <v>5442.8717890909102</v>
      </c>
      <c r="AM50" s="20">
        <f t="shared" si="21"/>
        <v>5620.9015418181816</v>
      </c>
    </row>
    <row r="51" spans="1:39" ht="17" customHeight="1">
      <c r="A51" s="2" t="s">
        <v>194</v>
      </c>
      <c r="B51" s="7" t="e">
        <f>短流程曲线-氢冶金降碳</f>
        <v>#NAME?</v>
      </c>
      <c r="C51" s="20">
        <f t="shared" ref="C51:AM51" si="22">C48-C50</f>
        <v>195992.54955807273</v>
      </c>
      <c r="D51" s="20">
        <f t="shared" si="22"/>
        <v>189812.4597043909</v>
      </c>
      <c r="E51" s="20">
        <f t="shared" si="22"/>
        <v>188107.78112727276</v>
      </c>
      <c r="F51" s="20">
        <f t="shared" si="22"/>
        <v>186516.60185454547</v>
      </c>
      <c r="G51" s="20">
        <f t="shared" si="22"/>
        <v>184930.98419999998</v>
      </c>
      <c r="H51" s="20">
        <f t="shared" si="22"/>
        <v>183350.92816363639</v>
      </c>
      <c r="I51" s="20">
        <f t="shared" si="22"/>
        <v>181776.43374545453</v>
      </c>
      <c r="J51" s="20">
        <f t="shared" si="22"/>
        <v>179644.01536363637</v>
      </c>
      <c r="K51" s="20">
        <f t="shared" si="22"/>
        <v>177529.68050181816</v>
      </c>
      <c r="L51" s="20">
        <f t="shared" si="22"/>
        <v>175175.12221963637</v>
      </c>
      <c r="M51" s="20">
        <f t="shared" si="22"/>
        <v>172842.26416145454</v>
      </c>
      <c r="N51" s="20">
        <f t="shared" si="22"/>
        <v>170658.45144545456</v>
      </c>
      <c r="O51" s="20">
        <f t="shared" si="22"/>
        <v>167914.15530981816</v>
      </c>
      <c r="P51" s="20">
        <f t="shared" si="22"/>
        <v>165323.42429672726</v>
      </c>
      <c r="Q51" s="20">
        <f t="shared" si="22"/>
        <v>162758.91328800001</v>
      </c>
      <c r="R51" s="20">
        <f t="shared" si="22"/>
        <v>160339.22740036366</v>
      </c>
      <c r="S51" s="20">
        <f t="shared" si="22"/>
        <v>157941.39151636363</v>
      </c>
      <c r="T51" s="20">
        <f t="shared" si="22"/>
        <v>155599.97639781819</v>
      </c>
      <c r="U51" s="20">
        <f t="shared" si="22"/>
        <v>153276.81660436362</v>
      </c>
      <c r="V51" s="20">
        <f t="shared" si="22"/>
        <v>151081.48650545455</v>
      </c>
      <c r="W51" s="20">
        <f t="shared" si="22"/>
        <v>148899.84790036362</v>
      </c>
      <c r="X51" s="20">
        <f t="shared" si="22"/>
        <v>146731.90078909093</v>
      </c>
      <c r="Y51" s="20">
        <f t="shared" si="22"/>
        <v>144577.64517163637</v>
      </c>
      <c r="Z51" s="20">
        <f t="shared" si="22"/>
        <v>142437.08104800002</v>
      </c>
      <c r="AA51" s="20">
        <f t="shared" si="22"/>
        <v>140113.87883563637</v>
      </c>
      <c r="AB51" s="20">
        <f t="shared" si="22"/>
        <v>137717.61290399998</v>
      </c>
      <c r="AC51" s="20">
        <f t="shared" si="22"/>
        <v>135255.12899999999</v>
      </c>
      <c r="AD51" s="20">
        <f t="shared" si="22"/>
        <v>132547.00488654544</v>
      </c>
      <c r="AE51" s="20">
        <f t="shared" si="22"/>
        <v>129871.94652436364</v>
      </c>
      <c r="AF51" s="20">
        <f t="shared" si="22"/>
        <v>127229.95391345456</v>
      </c>
      <c r="AG51" s="20">
        <f t="shared" si="22"/>
        <v>124621.02705381818</v>
      </c>
      <c r="AH51" s="20">
        <f t="shared" si="22"/>
        <v>122045.16594545456</v>
      </c>
      <c r="AI51" s="20">
        <f t="shared" si="22"/>
        <v>119579.43867272726</v>
      </c>
      <c r="AJ51" s="20">
        <f t="shared" si="22"/>
        <v>117141.26619272726</v>
      </c>
      <c r="AK51" s="20">
        <f t="shared" si="22"/>
        <v>114730.64850545456</v>
      </c>
      <c r="AL51" s="20">
        <f t="shared" si="22"/>
        <v>112347.58561090907</v>
      </c>
      <c r="AM51" s="20">
        <f t="shared" si="22"/>
        <v>110058.12367636364</v>
      </c>
    </row>
    <row r="52" spans="1:39">
      <c r="A52" s="40" t="s">
        <v>195</v>
      </c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6"/>
    </row>
    <row r="53" spans="1:39" ht="17" customHeight="1">
      <c r="A53" s="2" t="s">
        <v>196</v>
      </c>
      <c r="B53" s="7" t="e">
        <f>绿电量×0.5306/1000</f>
        <v>#NAME?</v>
      </c>
      <c r="C53" s="20">
        <f t="shared" ref="C53:AM53" si="23">C33*0.5306/1000</f>
        <v>0</v>
      </c>
      <c r="D53" s="20">
        <f t="shared" si="23"/>
        <v>391.38215029375004</v>
      </c>
      <c r="E53" s="20">
        <f t="shared" si="23"/>
        <v>774.16750833333333</v>
      </c>
      <c r="F53" s="20">
        <f t="shared" si="23"/>
        <v>1149.3392925000001</v>
      </c>
      <c r="G53" s="20">
        <f t="shared" si="23"/>
        <v>1516.5609200000001</v>
      </c>
      <c r="H53" s="20">
        <f t="shared" si="23"/>
        <v>1875.8257583333334</v>
      </c>
      <c r="I53" s="20">
        <f t="shared" si="23"/>
        <v>2227.1271749999996</v>
      </c>
      <c r="J53" s="20">
        <f t="shared" si="23"/>
        <v>2645.4760919999999</v>
      </c>
      <c r="K53" s="20">
        <f t="shared" si="23"/>
        <v>3054.7400758000003</v>
      </c>
      <c r="L53" s="20">
        <f t="shared" si="23"/>
        <v>3447.0416265600002</v>
      </c>
      <c r="M53" s="20">
        <f t="shared" si="23"/>
        <v>3828.2290174799996</v>
      </c>
      <c r="N53" s="20">
        <f t="shared" si="23"/>
        <v>4203.1876949999996</v>
      </c>
      <c r="O53" s="20">
        <f t="shared" si="23"/>
        <v>4803.9233580800001</v>
      </c>
      <c r="P53" s="20">
        <f t="shared" si="23"/>
        <v>5403.1336522800002</v>
      </c>
      <c r="Q53" s="20">
        <f t="shared" si="23"/>
        <v>5995.8481290399995</v>
      </c>
      <c r="R53" s="20">
        <f t="shared" si="23"/>
        <v>6589.9424841599994</v>
      </c>
      <c r="S53" s="20">
        <f t="shared" si="23"/>
        <v>7178.9543279999998</v>
      </c>
      <c r="T53" s="20">
        <f t="shared" si="23"/>
        <v>7507.199724359999</v>
      </c>
      <c r="U53" s="20">
        <f t="shared" si="23"/>
        <v>7833.3878783999999</v>
      </c>
      <c r="V53" s="20">
        <f t="shared" si="23"/>
        <v>8167.5186368999994</v>
      </c>
      <c r="W53" s="20">
        <f t="shared" si="23"/>
        <v>8500.442917119999</v>
      </c>
      <c r="X53" s="20">
        <f t="shared" si="23"/>
        <v>8832.1444826999996</v>
      </c>
      <c r="Y53" s="20">
        <f t="shared" si="23"/>
        <v>9162.6070972799989</v>
      </c>
      <c r="Z53" s="20">
        <f t="shared" si="23"/>
        <v>9491.8145244999996</v>
      </c>
      <c r="AA53" s="20">
        <f t="shared" si="23"/>
        <v>9795.2011516799994</v>
      </c>
      <c r="AB53" s="20">
        <f t="shared" si="23"/>
        <v>10082.745177119998</v>
      </c>
      <c r="AC53" s="20">
        <f t="shared" si="23"/>
        <v>10353.045975999999</v>
      </c>
      <c r="AD53" s="20">
        <f t="shared" si="23"/>
        <v>10695.849232320001</v>
      </c>
      <c r="AE53" s="20">
        <f t="shared" si="23"/>
        <v>11034.121589120001</v>
      </c>
      <c r="AF53" s="20">
        <f t="shared" si="23"/>
        <v>11367.817202559998</v>
      </c>
      <c r="AG53" s="20">
        <f t="shared" si="23"/>
        <v>11696.890228799999</v>
      </c>
      <c r="AH53" s="20">
        <f t="shared" si="23"/>
        <v>12021.294823999999</v>
      </c>
      <c r="AI53" s="20">
        <f t="shared" si="23"/>
        <v>12357.46176</v>
      </c>
      <c r="AJ53" s="20">
        <f t="shared" si="23"/>
        <v>12689.982412799996</v>
      </c>
      <c r="AK53" s="20">
        <f t="shared" si="23"/>
        <v>13018.818579199999</v>
      </c>
      <c r="AL53" s="20">
        <f t="shared" si="23"/>
        <v>13343.932056</v>
      </c>
      <c r="AM53" s="20">
        <f t="shared" si="23"/>
        <v>13684.004207999998</v>
      </c>
    </row>
    <row r="54" spans="1:39" ht="17" customHeight="1">
      <c r="A54" s="2" t="s">
        <v>197</v>
      </c>
      <c r="B54" s="7" t="e">
        <f>氢冶金曲线-绿电降碳</f>
        <v>#NAME?</v>
      </c>
      <c r="C54" s="20">
        <f t="shared" ref="C54:AM54" si="24">C51-C53</f>
        <v>195992.54955807273</v>
      </c>
      <c r="D54" s="20">
        <f t="shared" si="24"/>
        <v>189421.07755409714</v>
      </c>
      <c r="E54" s="20">
        <f t="shared" si="24"/>
        <v>187333.61361893942</v>
      </c>
      <c r="F54" s="20">
        <f t="shared" si="24"/>
        <v>185367.26256204548</v>
      </c>
      <c r="G54" s="20">
        <f t="shared" si="24"/>
        <v>183414.42327999999</v>
      </c>
      <c r="H54" s="20">
        <f t="shared" si="24"/>
        <v>181475.10240530304</v>
      </c>
      <c r="I54" s="20">
        <f t="shared" si="24"/>
        <v>179549.30657045453</v>
      </c>
      <c r="J54" s="20">
        <f t="shared" si="24"/>
        <v>176998.53927163637</v>
      </c>
      <c r="K54" s="20">
        <f t="shared" si="24"/>
        <v>174474.94042601815</v>
      </c>
      <c r="L54" s="20">
        <f t="shared" si="24"/>
        <v>171728.08059307636</v>
      </c>
      <c r="M54" s="20">
        <f t="shared" si="24"/>
        <v>169014.03514397456</v>
      </c>
      <c r="N54" s="20">
        <f t="shared" si="24"/>
        <v>166455.26375045456</v>
      </c>
      <c r="O54" s="20">
        <f t="shared" si="24"/>
        <v>163110.23195173815</v>
      </c>
      <c r="P54" s="20">
        <f t="shared" si="24"/>
        <v>159920.29064444726</v>
      </c>
      <c r="Q54" s="20">
        <f t="shared" si="24"/>
        <v>156763.06515896</v>
      </c>
      <c r="R54" s="20">
        <f t="shared" si="24"/>
        <v>153749.28491620364</v>
      </c>
      <c r="S54" s="20">
        <f t="shared" si="24"/>
        <v>150762.43718836363</v>
      </c>
      <c r="T54" s="20">
        <f t="shared" si="24"/>
        <v>148092.7766734582</v>
      </c>
      <c r="U54" s="20">
        <f t="shared" si="24"/>
        <v>145443.4287259636</v>
      </c>
      <c r="V54" s="20">
        <f t="shared" si="24"/>
        <v>142913.96786855455</v>
      </c>
      <c r="W54" s="20">
        <f t="shared" si="24"/>
        <v>140399.40498324361</v>
      </c>
      <c r="X54" s="20">
        <f t="shared" si="24"/>
        <v>137899.75630639092</v>
      </c>
      <c r="Y54" s="20">
        <f t="shared" si="24"/>
        <v>135415.03807435636</v>
      </c>
      <c r="Z54" s="20">
        <f t="shared" si="24"/>
        <v>132945.26652350003</v>
      </c>
      <c r="AA54" s="20">
        <f t="shared" si="24"/>
        <v>130318.67768395637</v>
      </c>
      <c r="AB54" s="20">
        <f t="shared" si="24"/>
        <v>127634.86772687998</v>
      </c>
      <c r="AC54" s="20">
        <f t="shared" si="24"/>
        <v>124902.08302399999</v>
      </c>
      <c r="AD54" s="20">
        <f t="shared" si="24"/>
        <v>121851.15565422544</v>
      </c>
      <c r="AE54" s="20">
        <f t="shared" si="24"/>
        <v>118837.82493524364</v>
      </c>
      <c r="AF54" s="20">
        <f t="shared" si="24"/>
        <v>115862.13671089457</v>
      </c>
      <c r="AG54" s="20">
        <f t="shared" si="24"/>
        <v>112924.13682501818</v>
      </c>
      <c r="AH54" s="20">
        <f t="shared" si="24"/>
        <v>110023.87112145456</v>
      </c>
      <c r="AI54" s="20">
        <f t="shared" si="24"/>
        <v>107221.97691272726</v>
      </c>
      <c r="AJ54" s="20">
        <f t="shared" si="24"/>
        <v>104451.28377992727</v>
      </c>
      <c r="AK54" s="20">
        <f t="shared" si="24"/>
        <v>101711.82992625456</v>
      </c>
      <c r="AL54" s="20">
        <f t="shared" si="24"/>
        <v>99003.653554909062</v>
      </c>
      <c r="AM54" s="20">
        <f t="shared" si="24"/>
        <v>96374.119468363642</v>
      </c>
    </row>
    <row r="55" spans="1:39">
      <c r="A55" s="40" t="s">
        <v>198</v>
      </c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6"/>
    </row>
    <row r="56" spans="1:39" ht="17" customHeight="1">
      <c r="A56" s="2" t="s">
        <v>199</v>
      </c>
      <c r="B56" s="7" t="e">
        <f>产量×累计技术潜力</f>
        <v>#NAME?</v>
      </c>
      <c r="C56" s="20">
        <f t="shared" ref="C56:AM56" si="25">C13*C37</f>
        <v>0</v>
      </c>
      <c r="D56" s="20">
        <f t="shared" si="25"/>
        <v>48.040500000000002</v>
      </c>
      <c r="E56" s="20">
        <f t="shared" si="25"/>
        <v>142.5</v>
      </c>
      <c r="F56" s="20">
        <f t="shared" si="25"/>
        <v>282</v>
      </c>
      <c r="G56" s="20">
        <f t="shared" si="25"/>
        <v>465</v>
      </c>
      <c r="H56" s="20">
        <f t="shared" si="25"/>
        <v>690</v>
      </c>
      <c r="I56" s="20">
        <f t="shared" si="25"/>
        <v>955.49999999999989</v>
      </c>
      <c r="J56" s="20">
        <f t="shared" si="25"/>
        <v>1341</v>
      </c>
      <c r="K56" s="20">
        <f t="shared" si="25"/>
        <v>1842.3</v>
      </c>
      <c r="L56" s="20">
        <f t="shared" si="25"/>
        <v>2449.62</v>
      </c>
      <c r="M56" s="20">
        <f t="shared" si="25"/>
        <v>3160.9000000000005</v>
      </c>
      <c r="N56" s="20">
        <f t="shared" si="25"/>
        <v>3975.7500000000005</v>
      </c>
      <c r="O56" s="20">
        <f t="shared" si="25"/>
        <v>4926.88</v>
      </c>
      <c r="P56" s="20">
        <f t="shared" si="25"/>
        <v>6003.46</v>
      </c>
      <c r="Q56" s="20">
        <f t="shared" si="25"/>
        <v>7197.9600000000009</v>
      </c>
      <c r="R56" s="20">
        <f t="shared" si="25"/>
        <v>8517.75</v>
      </c>
      <c r="S56" s="20">
        <f t="shared" si="25"/>
        <v>9953.3000000000011</v>
      </c>
      <c r="T56" s="20">
        <f t="shared" si="25"/>
        <v>11417.580000000002</v>
      </c>
      <c r="U56" s="20">
        <f t="shared" si="25"/>
        <v>12899.860000000002</v>
      </c>
      <c r="V56" s="20">
        <f t="shared" si="25"/>
        <v>14417.350000000002</v>
      </c>
      <c r="W56" s="20">
        <f t="shared" si="25"/>
        <v>15955.800000000003</v>
      </c>
      <c r="X56" s="20">
        <f t="shared" si="25"/>
        <v>17514.850000000002</v>
      </c>
      <c r="Y56" s="20">
        <f t="shared" si="25"/>
        <v>19094.140000000003</v>
      </c>
      <c r="Z56" s="20">
        <f t="shared" si="25"/>
        <v>20693.310000000005</v>
      </c>
      <c r="AA56" s="20">
        <f t="shared" si="25"/>
        <v>22256.22</v>
      </c>
      <c r="AB56" s="20">
        <f t="shared" si="25"/>
        <v>23799.600000000002</v>
      </c>
      <c r="AC56" s="20">
        <f t="shared" si="25"/>
        <v>25316.250000000004</v>
      </c>
      <c r="AD56" s="20">
        <f t="shared" si="25"/>
        <v>26782.020000000004</v>
      </c>
      <c r="AE56" s="20">
        <f t="shared" si="25"/>
        <v>28168.120000000003</v>
      </c>
      <c r="AF56" s="20">
        <f t="shared" si="25"/>
        <v>29475.810000000005</v>
      </c>
      <c r="AG56" s="20">
        <f t="shared" si="25"/>
        <v>30706.350000000006</v>
      </c>
      <c r="AH56" s="20">
        <f t="shared" si="25"/>
        <v>31861.000000000007</v>
      </c>
      <c r="AI56" s="20">
        <f t="shared" si="25"/>
        <v>32985.000000000007</v>
      </c>
      <c r="AJ56" s="20">
        <f t="shared" si="25"/>
        <v>34039.050000000003</v>
      </c>
      <c r="AK56" s="20">
        <f t="shared" si="25"/>
        <v>35024.200000000012</v>
      </c>
      <c r="AL56" s="20">
        <f t="shared" si="25"/>
        <v>35941.500000000007</v>
      </c>
      <c r="AM56" s="20">
        <f t="shared" si="25"/>
        <v>36842.400000000009</v>
      </c>
    </row>
    <row r="57" spans="1:39" ht="17" customHeight="1">
      <c r="A57" s="2" t="s">
        <v>200</v>
      </c>
      <c r="B57" s="7" t="e">
        <f>能源曲线-技术降碳</f>
        <v>#NAME?</v>
      </c>
      <c r="C57" s="20">
        <f t="shared" ref="C57:AM57" si="26">C54-C56</f>
        <v>195992.54955807273</v>
      </c>
      <c r="D57" s="20">
        <f t="shared" si="26"/>
        <v>189373.03705409713</v>
      </c>
      <c r="E57" s="20">
        <f t="shared" si="26"/>
        <v>187191.11361893942</v>
      </c>
      <c r="F57" s="20">
        <f t="shared" si="26"/>
        <v>185085.26256204548</v>
      </c>
      <c r="G57" s="20">
        <f t="shared" si="26"/>
        <v>182949.42327999999</v>
      </c>
      <c r="H57" s="20">
        <f t="shared" si="26"/>
        <v>180785.10240530304</v>
      </c>
      <c r="I57" s="20">
        <f t="shared" si="26"/>
        <v>178593.80657045453</v>
      </c>
      <c r="J57" s="20">
        <f t="shared" si="26"/>
        <v>175657.53927163637</v>
      </c>
      <c r="K57" s="20">
        <f t="shared" si="26"/>
        <v>172632.64042601816</v>
      </c>
      <c r="L57" s="20">
        <f t="shared" si="26"/>
        <v>169278.46059307636</v>
      </c>
      <c r="M57" s="20">
        <f t="shared" si="26"/>
        <v>165853.13514397456</v>
      </c>
      <c r="N57" s="20">
        <f t="shared" si="26"/>
        <v>162479.51375045456</v>
      </c>
      <c r="O57" s="20">
        <f t="shared" si="26"/>
        <v>158183.35195173815</v>
      </c>
      <c r="P57" s="20">
        <f t="shared" si="26"/>
        <v>153916.83064444727</v>
      </c>
      <c r="Q57" s="20">
        <f t="shared" si="26"/>
        <v>149565.10515896001</v>
      </c>
      <c r="R57" s="20">
        <f t="shared" si="26"/>
        <v>145231.53491620364</v>
      </c>
      <c r="S57" s="20">
        <f t="shared" si="26"/>
        <v>140809.13718836365</v>
      </c>
      <c r="T57" s="20">
        <f t="shared" si="26"/>
        <v>136675.19667345821</v>
      </c>
      <c r="U57" s="20">
        <f t="shared" si="26"/>
        <v>132543.56872596359</v>
      </c>
      <c r="V57" s="20">
        <f t="shared" si="26"/>
        <v>128496.61786855455</v>
      </c>
      <c r="W57" s="20">
        <f t="shared" si="26"/>
        <v>124443.60498324361</v>
      </c>
      <c r="X57" s="20">
        <f t="shared" si="26"/>
        <v>120384.90630639091</v>
      </c>
      <c r="Y57" s="20">
        <f t="shared" si="26"/>
        <v>116320.89807435636</v>
      </c>
      <c r="Z57" s="20">
        <f t="shared" si="26"/>
        <v>112251.95652350003</v>
      </c>
      <c r="AA57" s="20">
        <f t="shared" si="26"/>
        <v>108062.45768395637</v>
      </c>
      <c r="AB57" s="20">
        <f t="shared" si="26"/>
        <v>103835.26772687997</v>
      </c>
      <c r="AC57" s="20">
        <f t="shared" si="26"/>
        <v>99585.833023999992</v>
      </c>
      <c r="AD57" s="20">
        <f t="shared" si="26"/>
        <v>95069.135654225436</v>
      </c>
      <c r="AE57" s="20">
        <f t="shared" si="26"/>
        <v>90669.704935243644</v>
      </c>
      <c r="AF57" s="20">
        <f t="shared" si="26"/>
        <v>86386.326710894558</v>
      </c>
      <c r="AG57" s="20">
        <f t="shared" si="26"/>
        <v>82217.786825018178</v>
      </c>
      <c r="AH57" s="20">
        <f t="shared" si="26"/>
        <v>78162.871121454547</v>
      </c>
      <c r="AI57" s="20">
        <f t="shared" si="26"/>
        <v>74236.976912727259</v>
      </c>
      <c r="AJ57" s="20">
        <f t="shared" si="26"/>
        <v>70412.233779927265</v>
      </c>
      <c r="AK57" s="20">
        <f t="shared" si="26"/>
        <v>66687.629926254551</v>
      </c>
      <c r="AL57" s="20">
        <f t="shared" si="26"/>
        <v>63062.153554909055</v>
      </c>
      <c r="AM57" s="20">
        <f t="shared" si="26"/>
        <v>59531.719468363633</v>
      </c>
    </row>
    <row r="58" spans="1:39">
      <c r="A58" s="40" t="s">
        <v>201</v>
      </c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6"/>
    </row>
    <row r="59" spans="1:39" ht="17" customHeight="1">
      <c r="A59" s="2" t="s">
        <v>202</v>
      </c>
      <c r="B59" s="7" t="s">
        <v>203</v>
      </c>
      <c r="C59" s="23">
        <v>0</v>
      </c>
      <c r="D59" s="23">
        <f>MAX(0,MIN(0.98,IF(D57&gt;0,1-汇总对比与可视化看板!B4*D13/D57,0)))</f>
        <v>6.5819246154935618E-3</v>
      </c>
      <c r="E59" s="23">
        <f>MAX(0,MIN(0.98,IF(E57&gt;0,1-汇总对比与可视化看板!B5*E13/E57,0)))</f>
        <v>1.4937213443964037E-2</v>
      </c>
      <c r="F59" s="23">
        <f>MAX(0,MIN(0.98,IF(F57&gt;0,1-汇总对比与可视化看板!B6*F13/F57,0)))</f>
        <v>2.2850347475006139E-2</v>
      </c>
      <c r="G59" s="23">
        <f>MAX(0,MIN(0.98,IF(G57&gt;0,1-汇总对比与可视化看板!B7*G13/G57,0)))</f>
        <v>3.0600934288990467E-2</v>
      </c>
      <c r="H59" s="23">
        <f>MAX(0,MIN(0.98,IF(H57&gt;0,1-汇总对比与可视化看板!B8*H13/H57,0)))</f>
        <v>3.7686193799468692E-2</v>
      </c>
      <c r="I59" s="23">
        <f>MAX(0,MIN(0.98,IF(I57&gt;0,1-汇总对比与可视化看板!B9*I13/I57,0)))</f>
        <v>4.5129261340174032E-2</v>
      </c>
      <c r="J59" s="23">
        <f>MAX(0,MIN(0.98,IF(J57&gt;0,1-汇总对比与可视化看板!B10*J13/J57,0)))</f>
        <v>5.2645273923233038E-2</v>
      </c>
      <c r="K59" s="23">
        <f>MAX(0,MIN(0.98,IF(K57&gt;0,1-汇总对比与可视化看板!B11*K13/K57,0)))</f>
        <v>5.9129260844461462E-2</v>
      </c>
      <c r="L59" s="23">
        <f>MAX(0,MIN(0.98,IF(L57&gt;0,1-汇总对比与可视化看板!B12*L13/L57,0)))</f>
        <v>6.6390375678641034E-2</v>
      </c>
      <c r="M59" s="23">
        <f>MAX(0,MIN(0.98,IF(M57&gt;0,1-汇总对比与可视化看板!B13*M13/M57,0)))</f>
        <v>7.2663897088908191E-2</v>
      </c>
      <c r="N59" s="23">
        <f>MAX(0,MIN(0.98,IF(N57&gt;0,1-汇总对比与可视化看板!B14*N13/N57,0)))</f>
        <v>7.8588453742334252E-2</v>
      </c>
      <c r="O59" s="23">
        <f>MAX(0,MIN(0.98,IF(O57&gt;0,1-汇总对比与可视化看板!B15*O13/O57,0)))</f>
        <v>9.3477295614835088E-2</v>
      </c>
      <c r="P59" s="23">
        <f>MAX(0,MIN(0.98,IF(P57&gt;0,1-汇总对比与可视化看板!B16*P13/P57,0)))</f>
        <v>0.10776359268183544</v>
      </c>
      <c r="Q59" s="23">
        <f>MAX(0,MIN(0.98,IF(Q57&gt;0,1-汇总对比与可视化看板!B17*Q13/Q57,0)))</f>
        <v>0.12188341083694232</v>
      </c>
      <c r="R59" s="23">
        <f>MAX(0,MIN(0.98,IF(R57&gt;0,1-汇总对比与可视化看板!B18*R13/R57,0)))</f>
        <v>0.13599343233271888</v>
      </c>
      <c r="S59" s="23">
        <f>MAX(0,MIN(0.98,IF(S57&gt;0,1-汇总对比与可视化看板!B19*S13/S57,0)))</f>
        <v>0.14941599393666549</v>
      </c>
      <c r="T59" s="23">
        <f>MAX(0,MIN(0.98,IF(T57&gt;0,1-汇总对比与可视化看板!B20*T13/T57,0)))</f>
        <v>0.17003228997709707</v>
      </c>
      <c r="U59" s="23">
        <f>MAX(0,MIN(0.98,IF(U57&gt;0,1-汇总对比与可视化看板!B21*U13/U57,0)))</f>
        <v>0.19152622017028031</v>
      </c>
      <c r="V59" s="23">
        <f>MAX(0,MIN(0.98,IF(V57&gt;0,1-汇总对比与可视化看板!B22*V13/V57,0)))</f>
        <v>0.21352015581157791</v>
      </c>
      <c r="W59" s="23">
        <f>MAX(0,MIN(0.98,IF(W57&gt;0,1-汇总对比与可视化看板!B23*W13/W57,0)))</f>
        <v>0.23656985015186327</v>
      </c>
      <c r="X59" s="23">
        <f>MAX(0,MIN(0.98,IF(X57&gt;0,1-汇总对比与可视化看板!B24*X13/X57,0)))</f>
        <v>0.26078772887431523</v>
      </c>
      <c r="Y59" s="23">
        <f>MAX(0,MIN(0.98,IF(Y57&gt;0,1-汇总对比与可视化看板!B25*Y13/Y57,0)))</f>
        <v>0.28630193392306846</v>
      </c>
      <c r="Z59" s="23">
        <f>MAX(0,MIN(0.98,IF(Z57&gt;0,1-汇总对比与可视化看板!B26*Z13/Z57,0)))</f>
        <v>0.31325918596473135</v>
      </c>
      <c r="AA59" s="23">
        <f>MAX(0,MIN(0.98,IF(AA57&gt;0,1-汇总对比与可视化看板!B27*AA13/AA57,0)))</f>
        <v>0.34276897340504986</v>
      </c>
      <c r="AB59" s="23">
        <f>MAX(0,MIN(0.98,IF(AB57&gt;0,1-汇总对比与可视化看板!B28*AB13/AB57,0)))</f>
        <v>0.37454776761568598</v>
      </c>
      <c r="AC59" s="23">
        <f>MAX(0,MIN(0.98,IF(AC57&gt;0,1-汇总对比与可视化看板!B29*AC13/AC57,0)))</f>
        <v>0.40880145084681629</v>
      </c>
      <c r="AD59" s="23">
        <f>MAX(0,MIN(0.98,IF(AD57&gt;0,1-汇总对比与可视化看板!B30*AD13/AD57,0)))</f>
        <v>0.43706966901806077</v>
      </c>
      <c r="AE59" s="23">
        <f>MAX(0,MIN(0.98,IF(AE57&gt;0,1-汇总对比与可视化看板!B31*AE13/AE57,0)))</f>
        <v>0.46801194473446661</v>
      </c>
      <c r="AF59" s="23">
        <f>MAX(0,MIN(0.98,IF(AF57&gt;0,1-汇总对比与可视化看板!B32*AF13/AF57,0)))</f>
        <v>0.50190381234749892</v>
      </c>
      <c r="AG59" s="23">
        <f>MAX(0,MIN(0.98,IF(AG57&gt;0,1-汇总对比与可视化看板!B33*AG13/AG57,0)))</f>
        <v>0.53905594563550063</v>
      </c>
      <c r="AH59" s="23">
        <f>MAX(0,MIN(0.98,IF(AH57&gt;0,1-汇总对比与可视化看板!B34*AH13/AH57,0)))</f>
        <v>0.57981968255788363</v>
      </c>
      <c r="AI59" s="23">
        <f>MAX(0,MIN(0.98,IF(AI57&gt;0,1-汇总对比与可视化看板!B35*AI13/AI57,0)))</f>
        <v>0.62417650663766722</v>
      </c>
      <c r="AJ59" s="23">
        <f>MAX(0,MIN(0.98,IF(AJ57&gt;0,1-汇总对比与可视化看板!B36*AJ13/AJ57,0)))</f>
        <v>0.67306107526782433</v>
      </c>
      <c r="AK59" s="23">
        <f>MAX(0,MIN(0.98,IF(AK57&gt;0,1-汇总对比与可视化看板!B37*AK13/AK57,0)))</f>
        <v>0.72702583642377749</v>
      </c>
      <c r="AL59" s="23">
        <f>MAX(0,MIN(0.98,IF(AL57&gt;0,1-汇总对比与可视化看板!B38*AL13/AL57,0)))</f>
        <v>0.7867104238949203</v>
      </c>
      <c r="AM59" s="23">
        <f>MAX(0,MIN(0.98,IF(AM57&gt;0,1-汇总对比与可视化看板!B39*AM13/AM57,0)))</f>
        <v>0.85264998091208133</v>
      </c>
    </row>
    <row r="60" spans="1:39" ht="17" customHeight="1">
      <c r="A60" s="5" t="s">
        <v>204</v>
      </c>
      <c r="B60" s="7" t="e">
        <f>工艺曲线×CCUS比例</f>
        <v>#NAME?</v>
      </c>
      <c r="C60" s="28">
        <f t="shared" ref="C60:AM60" si="27">C57*C59</f>
        <v>0</v>
      </c>
      <c r="D60" s="28">
        <f t="shared" si="27"/>
        <v>1246.4390540971362</v>
      </c>
      <c r="E60" s="28">
        <f t="shared" si="27"/>
        <v>2796.1136189394215</v>
      </c>
      <c r="F60" s="28">
        <f t="shared" si="27"/>
        <v>4229.2625620454837</v>
      </c>
      <c r="G60" s="28">
        <f t="shared" si="27"/>
        <v>5598.4232799999827</v>
      </c>
      <c r="H60" s="28">
        <f t="shared" si="27"/>
        <v>6813.1024053030442</v>
      </c>
      <c r="I60" s="28">
        <f t="shared" si="27"/>
        <v>8059.8065704545324</v>
      </c>
      <c r="J60" s="28">
        <f t="shared" si="27"/>
        <v>9247.5392716363622</v>
      </c>
      <c r="K60" s="28">
        <f t="shared" si="27"/>
        <v>10207.64042601815</v>
      </c>
      <c r="L60" s="28">
        <f t="shared" si="27"/>
        <v>11238.460593076372</v>
      </c>
      <c r="M60" s="28">
        <f t="shared" si="27"/>
        <v>12051.53514397455</v>
      </c>
      <c r="N60" s="28">
        <f t="shared" si="27"/>
        <v>12769.01375045456</v>
      </c>
      <c r="O60" s="28">
        <f t="shared" si="27"/>
        <v>14786.551951738127</v>
      </c>
      <c r="P60" s="28">
        <f t="shared" si="27"/>
        <v>16586.630644447261</v>
      </c>
      <c r="Q60" s="28">
        <f t="shared" si="27"/>
        <v>18229.505158960004</v>
      </c>
      <c r="R60" s="28">
        <f t="shared" si="27"/>
        <v>19750.53491620364</v>
      </c>
      <c r="S60" s="28">
        <f t="shared" si="27"/>
        <v>21039.137188363642</v>
      </c>
      <c r="T60" s="28">
        <f t="shared" si="27"/>
        <v>23239.19667345822</v>
      </c>
      <c r="U60" s="28">
        <f t="shared" si="27"/>
        <v>25385.568725963582</v>
      </c>
      <c r="V60" s="28">
        <f t="shared" si="27"/>
        <v>27436.617868554553</v>
      </c>
      <c r="W60" s="28">
        <f t="shared" si="27"/>
        <v>29439.604983243607</v>
      </c>
      <c r="X60" s="28">
        <f t="shared" si="27"/>
        <v>31394.906306390916</v>
      </c>
      <c r="Y60" s="28">
        <f t="shared" si="27"/>
        <v>33302.898074356359</v>
      </c>
      <c r="Z60" s="28">
        <f t="shared" si="27"/>
        <v>35163.956523500034</v>
      </c>
      <c r="AA60" s="28">
        <f t="shared" si="27"/>
        <v>37040.457683956367</v>
      </c>
      <c r="AB60" s="28">
        <f t="shared" si="27"/>
        <v>38891.267726879982</v>
      </c>
      <c r="AC60" s="28">
        <f t="shared" si="27"/>
        <v>40710.833023999985</v>
      </c>
      <c r="AD60" s="28">
        <f t="shared" si="27"/>
        <v>41551.835654225433</v>
      </c>
      <c r="AE60" s="28">
        <f t="shared" si="27"/>
        <v>42434.50493524364</v>
      </c>
      <c r="AF60" s="28">
        <f t="shared" si="27"/>
        <v>43357.626710894554</v>
      </c>
      <c r="AG60" s="28">
        <f t="shared" si="27"/>
        <v>44319.986825018183</v>
      </c>
      <c r="AH60" s="28">
        <f t="shared" si="27"/>
        <v>45320.371121454547</v>
      </c>
      <c r="AI60" s="28">
        <f t="shared" si="27"/>
        <v>46336.976912727252</v>
      </c>
      <c r="AJ60" s="28">
        <f t="shared" si="27"/>
        <v>47391.733779927265</v>
      </c>
      <c r="AK60" s="28">
        <f t="shared" si="27"/>
        <v>48483.629926254551</v>
      </c>
      <c r="AL60" s="28">
        <f t="shared" si="27"/>
        <v>49611.653554909055</v>
      </c>
      <c r="AM60" s="28">
        <f t="shared" si="27"/>
        <v>50759.719468363633</v>
      </c>
    </row>
    <row r="61" spans="1:39">
      <c r="A61" s="40" t="s">
        <v>205</v>
      </c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6"/>
    </row>
    <row r="62" spans="1:39" ht="17" customHeight="1">
      <c r="A62" s="5" t="s">
        <v>52</v>
      </c>
      <c r="B62" s="7" t="e">
        <f>工艺曲线-CCUS</f>
        <v>#NAME?</v>
      </c>
      <c r="C62" s="28">
        <f t="shared" ref="C62:AM62" si="28">C57-C60</f>
        <v>195992.54955807273</v>
      </c>
      <c r="D62" s="28">
        <f t="shared" si="28"/>
        <v>188126.598</v>
      </c>
      <c r="E62" s="28">
        <f t="shared" si="28"/>
        <v>184395</v>
      </c>
      <c r="F62" s="28">
        <f t="shared" si="28"/>
        <v>180856</v>
      </c>
      <c r="G62" s="28">
        <f t="shared" si="28"/>
        <v>177351</v>
      </c>
      <c r="H62" s="28">
        <f t="shared" si="28"/>
        <v>173972</v>
      </c>
      <c r="I62" s="28">
        <f t="shared" si="28"/>
        <v>170534</v>
      </c>
      <c r="J62" s="28">
        <f t="shared" si="28"/>
        <v>166410</v>
      </c>
      <c r="K62" s="28">
        <f t="shared" si="28"/>
        <v>162425</v>
      </c>
      <c r="L62" s="28">
        <f t="shared" si="28"/>
        <v>158040</v>
      </c>
      <c r="M62" s="28">
        <f t="shared" si="28"/>
        <v>153801.60000000001</v>
      </c>
      <c r="N62" s="28">
        <f t="shared" si="28"/>
        <v>149710.5</v>
      </c>
      <c r="O62" s="28">
        <f t="shared" si="28"/>
        <v>143396.80000000002</v>
      </c>
      <c r="P62" s="28">
        <f t="shared" si="28"/>
        <v>137330.20000000001</v>
      </c>
      <c r="Q62" s="28">
        <f t="shared" si="28"/>
        <v>131335.6</v>
      </c>
      <c r="R62" s="28">
        <f t="shared" si="28"/>
        <v>125481</v>
      </c>
      <c r="S62" s="28">
        <f t="shared" si="28"/>
        <v>119770</v>
      </c>
      <c r="T62" s="28">
        <f t="shared" si="28"/>
        <v>113435.99999999999</v>
      </c>
      <c r="U62" s="28">
        <f t="shared" si="28"/>
        <v>107158</v>
      </c>
      <c r="V62" s="28">
        <f t="shared" si="28"/>
        <v>101060</v>
      </c>
      <c r="W62" s="28">
        <f t="shared" si="28"/>
        <v>95004</v>
      </c>
      <c r="X62" s="28">
        <f t="shared" si="28"/>
        <v>88990</v>
      </c>
      <c r="Y62" s="28">
        <f t="shared" si="28"/>
        <v>83018</v>
      </c>
      <c r="Z62" s="28">
        <f t="shared" si="28"/>
        <v>77088</v>
      </c>
      <c r="AA62" s="28">
        <f t="shared" si="28"/>
        <v>71022</v>
      </c>
      <c r="AB62" s="28">
        <f t="shared" si="28"/>
        <v>64943.999999999993</v>
      </c>
      <c r="AC62" s="28">
        <f t="shared" si="28"/>
        <v>58875.000000000007</v>
      </c>
      <c r="AD62" s="28">
        <f t="shared" si="28"/>
        <v>53517.3</v>
      </c>
      <c r="AE62" s="28">
        <f t="shared" si="28"/>
        <v>48235.200000000004</v>
      </c>
      <c r="AF62" s="28">
        <f t="shared" si="28"/>
        <v>43028.700000000004</v>
      </c>
      <c r="AG62" s="28">
        <f t="shared" si="28"/>
        <v>37897.799999999996</v>
      </c>
      <c r="AH62" s="28">
        <f t="shared" si="28"/>
        <v>32842.5</v>
      </c>
      <c r="AI62" s="28">
        <f t="shared" si="28"/>
        <v>27900.000000000007</v>
      </c>
      <c r="AJ62" s="28">
        <f t="shared" si="28"/>
        <v>23020.5</v>
      </c>
      <c r="AK62" s="28">
        <f t="shared" si="28"/>
        <v>18204</v>
      </c>
      <c r="AL62" s="28">
        <f t="shared" si="28"/>
        <v>13450.5</v>
      </c>
      <c r="AM62" s="28">
        <f t="shared" si="28"/>
        <v>8772</v>
      </c>
    </row>
    <row r="63" spans="1:39" ht="17" customHeight="1">
      <c r="A63" s="5" t="s">
        <v>56</v>
      </c>
      <c r="B63" s="7" t="e">
        <f>碳排放总量/粗钢产量</f>
        <v>#NAME?</v>
      </c>
      <c r="C63" s="29">
        <f t="shared" ref="C63:AM63" si="29">IF(C13&gt;0,C62/C13,0)</f>
        <v>1.9499999956031075</v>
      </c>
      <c r="D63" s="29">
        <f t="shared" si="29"/>
        <v>1.958</v>
      </c>
      <c r="E63" s="29">
        <f t="shared" si="29"/>
        <v>1.9410000000000001</v>
      </c>
      <c r="F63" s="29">
        <f t="shared" si="29"/>
        <v>1.9239999999999999</v>
      </c>
      <c r="G63" s="29">
        <f t="shared" si="29"/>
        <v>1.907</v>
      </c>
      <c r="H63" s="29">
        <f t="shared" si="29"/>
        <v>1.891</v>
      </c>
      <c r="I63" s="29">
        <f t="shared" si="29"/>
        <v>1.8740000000000001</v>
      </c>
      <c r="J63" s="29">
        <f t="shared" si="29"/>
        <v>1.849</v>
      </c>
      <c r="K63" s="29">
        <f t="shared" si="29"/>
        <v>1.825</v>
      </c>
      <c r="L63" s="29">
        <f t="shared" si="29"/>
        <v>1.8</v>
      </c>
      <c r="M63" s="29">
        <f t="shared" si="29"/>
        <v>1.776</v>
      </c>
      <c r="N63" s="29">
        <f t="shared" si="29"/>
        <v>1.7509999999999999</v>
      </c>
      <c r="O63" s="29">
        <f t="shared" si="29"/>
        <v>1.6910000000000003</v>
      </c>
      <c r="P63" s="29">
        <f t="shared" si="29"/>
        <v>1.6310000000000002</v>
      </c>
      <c r="Q63" s="29">
        <f t="shared" si="29"/>
        <v>1.5710000000000002</v>
      </c>
      <c r="R63" s="29">
        <f t="shared" si="29"/>
        <v>1.51</v>
      </c>
      <c r="S63" s="29">
        <f t="shared" si="29"/>
        <v>1.45</v>
      </c>
      <c r="T63" s="29">
        <f t="shared" si="29"/>
        <v>1.38</v>
      </c>
      <c r="U63" s="29">
        <f t="shared" si="29"/>
        <v>1.31</v>
      </c>
      <c r="V63" s="29">
        <f t="shared" si="29"/>
        <v>1.24</v>
      </c>
      <c r="W63" s="29">
        <f t="shared" si="29"/>
        <v>1.17</v>
      </c>
      <c r="X63" s="29">
        <f t="shared" si="29"/>
        <v>1.1000000000000001</v>
      </c>
      <c r="Y63" s="29">
        <f t="shared" si="29"/>
        <v>1.03</v>
      </c>
      <c r="Z63" s="29">
        <f t="shared" si="29"/>
        <v>0.96</v>
      </c>
      <c r="AA63" s="29">
        <f t="shared" si="29"/>
        <v>0.89</v>
      </c>
      <c r="AB63" s="29">
        <f t="shared" si="29"/>
        <v>0.82</v>
      </c>
      <c r="AC63" s="29">
        <f t="shared" si="29"/>
        <v>0.75000000000000011</v>
      </c>
      <c r="AD63" s="29">
        <f t="shared" si="29"/>
        <v>0.68700000000000006</v>
      </c>
      <c r="AE63" s="29">
        <f t="shared" si="29"/>
        <v>0.62400000000000011</v>
      </c>
      <c r="AF63" s="29">
        <f t="shared" si="29"/>
        <v>0.56100000000000005</v>
      </c>
      <c r="AG63" s="29">
        <f t="shared" si="29"/>
        <v>0.49799999999999994</v>
      </c>
      <c r="AH63" s="29">
        <f t="shared" si="29"/>
        <v>0.435</v>
      </c>
      <c r="AI63" s="29">
        <f t="shared" si="29"/>
        <v>0.37200000000000011</v>
      </c>
      <c r="AJ63" s="29">
        <f t="shared" si="29"/>
        <v>0.309</v>
      </c>
      <c r="AK63" s="29">
        <f t="shared" si="29"/>
        <v>0.246</v>
      </c>
      <c r="AL63" s="29">
        <f t="shared" si="29"/>
        <v>0.183</v>
      </c>
      <c r="AM63" s="29">
        <f t="shared" si="29"/>
        <v>0.12</v>
      </c>
    </row>
    <row r="64" spans="1:39" ht="17" customHeight="1">
      <c r="A64" s="2" t="s">
        <v>206</v>
      </c>
      <c r="B64" s="7" t="e">
        <f>(当年-1.95)/1.95</f>
        <v>#NAME?</v>
      </c>
      <c r="C64" s="19">
        <f t="shared" ref="C64:AM64" si="30">(C63-1.95)/1.95</f>
        <v>-2.2548166183192291E-9</v>
      </c>
      <c r="D64" s="19">
        <f t="shared" si="30"/>
        <v>4.102564102564106E-3</v>
      </c>
      <c r="E64" s="19">
        <f t="shared" si="30"/>
        <v>-4.6153846153845629E-3</v>
      </c>
      <c r="F64" s="19">
        <f t="shared" si="30"/>
        <v>-1.3333333333333346E-2</v>
      </c>
      <c r="G64" s="19">
        <f t="shared" si="30"/>
        <v>-2.2051282051282015E-2</v>
      </c>
      <c r="H64" s="19">
        <f t="shared" si="30"/>
        <v>-3.0256410256410227E-2</v>
      </c>
      <c r="I64" s="19">
        <f t="shared" si="30"/>
        <v>-3.8974358974358893E-2</v>
      </c>
      <c r="J64" s="19">
        <f t="shared" si="30"/>
        <v>-5.1794871794871786E-2</v>
      </c>
      <c r="K64" s="19">
        <f t="shared" si="30"/>
        <v>-6.4102564102564111E-2</v>
      </c>
      <c r="L64" s="19">
        <f t="shared" si="30"/>
        <v>-7.6923076923076886E-2</v>
      </c>
      <c r="M64" s="19">
        <f t="shared" si="30"/>
        <v>-8.9230769230769197E-2</v>
      </c>
      <c r="N64" s="19">
        <f t="shared" si="30"/>
        <v>-0.10205128205128208</v>
      </c>
      <c r="O64" s="19">
        <f t="shared" si="30"/>
        <v>-0.13282051282051266</v>
      </c>
      <c r="P64" s="19">
        <f t="shared" si="30"/>
        <v>-0.16358974358974346</v>
      </c>
      <c r="Q64" s="19">
        <f t="shared" si="30"/>
        <v>-0.19435897435897426</v>
      </c>
      <c r="R64" s="19">
        <f t="shared" si="30"/>
        <v>-0.22564102564102562</v>
      </c>
      <c r="S64" s="19">
        <f t="shared" si="30"/>
        <v>-0.25641025641025644</v>
      </c>
      <c r="T64" s="19">
        <f t="shared" si="30"/>
        <v>-0.29230769230769232</v>
      </c>
      <c r="U64" s="19">
        <f t="shared" si="30"/>
        <v>-0.32820512820512815</v>
      </c>
      <c r="V64" s="19">
        <f t="shared" si="30"/>
        <v>-0.36410256410256409</v>
      </c>
      <c r="W64" s="19">
        <f t="shared" si="30"/>
        <v>-0.4</v>
      </c>
      <c r="X64" s="19">
        <f t="shared" si="30"/>
        <v>-0.43589743589743585</v>
      </c>
      <c r="Y64" s="19">
        <f t="shared" si="30"/>
        <v>-0.47179487179487178</v>
      </c>
      <c r="Z64" s="19">
        <f t="shared" si="30"/>
        <v>-0.50769230769230766</v>
      </c>
      <c r="AA64" s="19">
        <f t="shared" si="30"/>
        <v>-0.54358974358974366</v>
      </c>
      <c r="AB64" s="19">
        <f t="shared" si="30"/>
        <v>-0.57948717948717943</v>
      </c>
      <c r="AC64" s="19">
        <f t="shared" si="30"/>
        <v>-0.61538461538461531</v>
      </c>
      <c r="AD64" s="19">
        <f t="shared" si="30"/>
        <v>-0.64769230769230768</v>
      </c>
      <c r="AE64" s="19">
        <f t="shared" si="30"/>
        <v>-0.67999999999999994</v>
      </c>
      <c r="AF64" s="19">
        <f t="shared" si="30"/>
        <v>-0.7123076923076922</v>
      </c>
      <c r="AG64" s="19">
        <f t="shared" si="30"/>
        <v>-0.74461538461538457</v>
      </c>
      <c r="AH64" s="19">
        <f t="shared" si="30"/>
        <v>-0.77692307692307694</v>
      </c>
      <c r="AI64" s="19">
        <f t="shared" si="30"/>
        <v>-0.8092307692307692</v>
      </c>
      <c r="AJ64" s="19">
        <f t="shared" si="30"/>
        <v>-0.84153846153846157</v>
      </c>
      <c r="AK64" s="19">
        <f t="shared" si="30"/>
        <v>-0.87384615384615383</v>
      </c>
      <c r="AL64" s="19">
        <f t="shared" si="30"/>
        <v>-0.90615384615384609</v>
      </c>
      <c r="AM64" s="19">
        <f t="shared" si="30"/>
        <v>-0.93846153846153857</v>
      </c>
    </row>
    <row r="65" spans="1:39" ht="17" customHeight="1">
      <c r="A65" s="2" t="s">
        <v>207</v>
      </c>
      <c r="B65" s="7" t="e">
        <f>碳排放/(全国排放×10000)</f>
        <v>#NAME?</v>
      </c>
      <c r="C65" s="19">
        <f t="shared" ref="C65:AM65" si="31">C62/(C9*10000)</f>
        <v>0.18403056296532649</v>
      </c>
      <c r="D65" s="19">
        <f t="shared" si="31"/>
        <v>0.17419129444444445</v>
      </c>
      <c r="E65" s="19">
        <f t="shared" si="31"/>
        <v>0.16763181818181819</v>
      </c>
      <c r="F65" s="19">
        <f t="shared" si="31"/>
        <v>0.16147857142857142</v>
      </c>
      <c r="G65" s="19">
        <f t="shared" si="31"/>
        <v>0.15421826086956522</v>
      </c>
      <c r="H65" s="19">
        <f t="shared" si="31"/>
        <v>0.14869401709401708</v>
      </c>
      <c r="I65" s="19">
        <f t="shared" si="31"/>
        <v>0.14452033898305086</v>
      </c>
      <c r="J65" s="19">
        <f t="shared" si="31"/>
        <v>0.14223076923076924</v>
      </c>
      <c r="K65" s="19">
        <f t="shared" si="31"/>
        <v>0.14062770562770563</v>
      </c>
      <c r="L65" s="19">
        <f t="shared" si="31"/>
        <v>0.13924229074889868</v>
      </c>
      <c r="M65" s="19">
        <f t="shared" si="31"/>
        <v>0.13856000000000002</v>
      </c>
      <c r="N65" s="19">
        <f t="shared" si="31"/>
        <v>0.13734908256880735</v>
      </c>
      <c r="O65" s="19">
        <f t="shared" si="31"/>
        <v>0.13464488262910801</v>
      </c>
      <c r="P65" s="19">
        <f t="shared" si="31"/>
        <v>0.13268618357487924</v>
      </c>
      <c r="Q65" s="19">
        <f t="shared" si="31"/>
        <v>0.1313356</v>
      </c>
      <c r="R65" s="19">
        <f t="shared" si="31"/>
        <v>0.13070937499999999</v>
      </c>
      <c r="S65" s="19">
        <f t="shared" si="31"/>
        <v>0.13018478260869565</v>
      </c>
      <c r="T65" s="19">
        <f t="shared" si="31"/>
        <v>0.12964114285714284</v>
      </c>
      <c r="U65" s="19">
        <f t="shared" si="31"/>
        <v>0.12910602409638555</v>
      </c>
      <c r="V65" s="19">
        <f t="shared" si="31"/>
        <v>0.1287388535031847</v>
      </c>
      <c r="W65" s="19">
        <f t="shared" si="31"/>
        <v>0.12838378378378379</v>
      </c>
      <c r="X65" s="19">
        <f t="shared" si="31"/>
        <v>0.1280431654676259</v>
      </c>
      <c r="Y65" s="19">
        <f t="shared" si="31"/>
        <v>0.12772</v>
      </c>
      <c r="Z65" s="19">
        <f t="shared" si="31"/>
        <v>0.12741818181818182</v>
      </c>
      <c r="AA65" s="19">
        <f t="shared" si="31"/>
        <v>0.12682499999999999</v>
      </c>
      <c r="AB65" s="19">
        <f t="shared" si="31"/>
        <v>0.12610485436893201</v>
      </c>
      <c r="AC65" s="19">
        <f t="shared" si="31"/>
        <v>0.12526595744680852</v>
      </c>
      <c r="AD65" s="19">
        <f t="shared" si="31"/>
        <v>0.12445883720930233</v>
      </c>
      <c r="AE65" s="19">
        <f t="shared" si="31"/>
        <v>0.12368000000000001</v>
      </c>
      <c r="AF65" s="19">
        <f t="shared" si="31"/>
        <v>0.12120760563380283</v>
      </c>
      <c r="AG65" s="19">
        <f t="shared" si="31"/>
        <v>0.11843062499999998</v>
      </c>
      <c r="AH65" s="19">
        <f t="shared" si="31"/>
        <v>0.11325</v>
      </c>
      <c r="AI65" s="19">
        <f t="shared" si="31"/>
        <v>0.10528301886792456</v>
      </c>
      <c r="AJ65" s="19">
        <f t="shared" si="31"/>
        <v>9.3961224489795922E-2</v>
      </c>
      <c r="AK65" s="19">
        <f t="shared" si="31"/>
        <v>7.9147826086956516E-2</v>
      </c>
      <c r="AL65" s="19">
        <f t="shared" si="31"/>
        <v>6.113863636363636E-2</v>
      </c>
      <c r="AM65" s="19">
        <f t="shared" si="31"/>
        <v>4.177142857142857E-2</v>
      </c>
    </row>
  </sheetData>
  <mergeCells count="20">
    <mergeCell ref="A1:J1"/>
    <mergeCell ref="A5:AM5"/>
    <mergeCell ref="AP11:AQ11"/>
    <mergeCell ref="A43:AM43"/>
    <mergeCell ref="A52:AM52"/>
    <mergeCell ref="A34:AM34"/>
    <mergeCell ref="A40:AM40"/>
    <mergeCell ref="AP25:AQ25"/>
    <mergeCell ref="A30:AM30"/>
    <mergeCell ref="A39:AM39"/>
    <mergeCell ref="A2:J2"/>
    <mergeCell ref="A49:AM49"/>
    <mergeCell ref="AP4:AQ4"/>
    <mergeCell ref="A61:AM61"/>
    <mergeCell ref="A46:AM46"/>
    <mergeCell ref="A12:AM12"/>
    <mergeCell ref="A21:AM21"/>
    <mergeCell ref="A55:AM55"/>
    <mergeCell ref="A14:AM14"/>
    <mergeCell ref="A58:AM58"/>
  </mergeCells>
  <phoneticPr fontId="9" type="noConversion"/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30A0"/>
  </sheetPr>
  <dimension ref="A1:K39"/>
  <sheetViews>
    <sheetView workbookViewId="0">
      <selection activeCell="C3" sqref="C3"/>
    </sheetView>
  </sheetViews>
  <sheetFormatPr baseColWidth="10" defaultColWidth="9" defaultRowHeight="14"/>
  <cols>
    <col min="1" max="1" width="14.83203125" customWidth="1"/>
    <col min="2" max="9" width="16" customWidth="1"/>
    <col min="10" max="10" width="18.5" customWidth="1"/>
    <col min="11" max="11" width="28.6640625" customWidth="1"/>
  </cols>
  <sheetData>
    <row r="1" spans="1:11" ht="20.5" customHeight="1">
      <c r="A1" s="38" t="s">
        <v>210</v>
      </c>
      <c r="B1" s="35"/>
      <c r="C1" s="35"/>
      <c r="D1" s="35"/>
      <c r="E1" s="35"/>
      <c r="F1" s="35"/>
      <c r="G1" s="35"/>
      <c r="H1" s="35"/>
      <c r="I1" s="36"/>
    </row>
    <row r="2" spans="1:11" ht="66" customHeight="1">
      <c r="A2" s="10" t="s">
        <v>211</v>
      </c>
      <c r="B2" s="10" t="s">
        <v>212</v>
      </c>
      <c r="C2" s="10" t="s">
        <v>213</v>
      </c>
      <c r="D2" s="10" t="s">
        <v>214</v>
      </c>
      <c r="E2" s="10" t="s">
        <v>215</v>
      </c>
      <c r="F2" s="10" t="s">
        <v>216</v>
      </c>
      <c r="G2" s="10" t="s">
        <v>217</v>
      </c>
      <c r="H2" s="10" t="s">
        <v>218</v>
      </c>
      <c r="I2" s="10" t="s">
        <v>219</v>
      </c>
      <c r="J2" s="10" t="s">
        <v>220</v>
      </c>
      <c r="K2" s="10" t="s">
        <v>221</v>
      </c>
    </row>
    <row r="3" spans="1:11" ht="20.5" customHeight="1">
      <c r="A3" s="11">
        <v>2024</v>
      </c>
      <c r="B3" s="11">
        <v>1.95</v>
      </c>
      <c r="C3" s="12">
        <v>0</v>
      </c>
      <c r="D3" s="11">
        <v>1.95</v>
      </c>
      <c r="E3" s="12">
        <v>0</v>
      </c>
      <c r="F3" s="11">
        <v>1.95</v>
      </c>
      <c r="G3" s="12">
        <v>0</v>
      </c>
      <c r="H3" s="11">
        <v>0</v>
      </c>
      <c r="I3" s="11">
        <v>0</v>
      </c>
      <c r="J3" s="13">
        <v>195993</v>
      </c>
      <c r="K3" s="13">
        <v>195993</v>
      </c>
    </row>
    <row r="4" spans="1:11" ht="20.5" customHeight="1">
      <c r="A4" s="11">
        <v>2025</v>
      </c>
      <c r="B4" s="11">
        <v>1.958</v>
      </c>
      <c r="C4" s="12">
        <v>-4.0000000000000001E-3</v>
      </c>
      <c r="D4" s="11">
        <v>1.954</v>
      </c>
      <c r="E4" s="12">
        <v>-2E-3</v>
      </c>
      <c r="F4" s="11">
        <v>1.9470000000000001</v>
      </c>
      <c r="G4" s="12">
        <v>1.5E-3</v>
      </c>
      <c r="H4" s="11">
        <v>0.2</v>
      </c>
      <c r="I4" s="11">
        <v>0.35</v>
      </c>
      <c r="J4" s="13">
        <v>187742</v>
      </c>
      <c r="K4" s="13">
        <v>187070</v>
      </c>
    </row>
    <row r="5" spans="1:11" ht="20.5" customHeight="1">
      <c r="A5" s="11">
        <v>2026</v>
      </c>
      <c r="B5" s="11">
        <v>1.9410000000000001</v>
      </c>
      <c r="C5" s="12">
        <v>4.5999999999999999E-3</v>
      </c>
      <c r="D5" s="11">
        <v>1.923</v>
      </c>
      <c r="E5" s="12">
        <v>1.38E-2</v>
      </c>
      <c r="F5" s="11">
        <v>1.905</v>
      </c>
      <c r="G5" s="12">
        <v>2.3099999999999999E-2</v>
      </c>
      <c r="H5" s="11">
        <v>0.92</v>
      </c>
      <c r="I5" s="11">
        <v>0.93</v>
      </c>
      <c r="J5" s="13">
        <v>180762</v>
      </c>
      <c r="K5" s="13">
        <v>179070</v>
      </c>
    </row>
    <row r="6" spans="1:11" ht="20.5" customHeight="1">
      <c r="A6" s="11">
        <v>2027</v>
      </c>
      <c r="B6" s="11">
        <v>1.9239999999999999</v>
      </c>
      <c r="C6" s="12">
        <v>1.3299999999999999E-2</v>
      </c>
      <c r="D6" s="11">
        <v>1.891</v>
      </c>
      <c r="E6" s="12">
        <v>3.0300000000000001E-2</v>
      </c>
      <c r="F6" s="11">
        <v>1.853</v>
      </c>
      <c r="G6" s="12">
        <v>4.9700000000000001E-2</v>
      </c>
      <c r="H6" s="11">
        <v>1.7</v>
      </c>
      <c r="I6" s="11">
        <v>1.94</v>
      </c>
      <c r="J6" s="13">
        <v>174918</v>
      </c>
      <c r="K6" s="13">
        <v>171403</v>
      </c>
    </row>
    <row r="7" spans="1:11" ht="20.5" customHeight="1">
      <c r="A7" s="11">
        <v>2028</v>
      </c>
      <c r="B7" s="11">
        <v>1.907</v>
      </c>
      <c r="C7" s="12">
        <v>2.2100000000000002E-2</v>
      </c>
      <c r="D7" s="11">
        <v>1.86</v>
      </c>
      <c r="E7" s="12">
        <v>4.6199999999999998E-2</v>
      </c>
      <c r="F7" s="11">
        <v>1.8120000000000001</v>
      </c>
      <c r="G7" s="12">
        <v>7.0800000000000002E-2</v>
      </c>
      <c r="H7" s="11">
        <v>2.41</v>
      </c>
      <c r="I7" s="11">
        <v>2.46</v>
      </c>
      <c r="J7" s="13">
        <v>169260</v>
      </c>
      <c r="K7" s="13">
        <v>164892</v>
      </c>
    </row>
    <row r="8" spans="1:11" ht="20.5" customHeight="1">
      <c r="A8" s="11">
        <v>2029</v>
      </c>
      <c r="B8" s="11">
        <v>1.891</v>
      </c>
      <c r="C8" s="12">
        <v>3.0300000000000001E-2</v>
      </c>
      <c r="D8" s="11">
        <v>1.829</v>
      </c>
      <c r="E8" s="12">
        <v>6.2100000000000002E-2</v>
      </c>
      <c r="F8" s="11">
        <v>1.78</v>
      </c>
      <c r="G8" s="12">
        <v>9.7199999999999995E-2</v>
      </c>
      <c r="H8" s="11">
        <v>3.18</v>
      </c>
      <c r="I8" s="11">
        <v>2.5099999999999998</v>
      </c>
      <c r="J8" s="13">
        <v>160952</v>
      </c>
      <c r="K8" s="13">
        <v>156640</v>
      </c>
    </row>
    <row r="9" spans="1:11" ht="20.5" customHeight="1">
      <c r="A9" s="11">
        <v>2030</v>
      </c>
      <c r="B9" s="11">
        <v>1.8740000000000001</v>
      </c>
      <c r="C9" s="12">
        <v>3.9E-2</v>
      </c>
      <c r="D9" s="11">
        <v>1.798</v>
      </c>
      <c r="E9" s="12">
        <v>7.7899999999999997E-2</v>
      </c>
      <c r="F9" s="11">
        <v>1.744</v>
      </c>
      <c r="G9" s="12">
        <v>0.1206</v>
      </c>
      <c r="H9" s="11">
        <v>3.89</v>
      </c>
      <c r="I9" s="11">
        <v>2.77</v>
      </c>
      <c r="J9" s="13">
        <v>152830</v>
      </c>
      <c r="K9" s="13">
        <v>148240</v>
      </c>
    </row>
    <row r="10" spans="1:11" ht="20.5" customHeight="1">
      <c r="A10" s="11">
        <v>2031</v>
      </c>
      <c r="B10" s="11">
        <v>1.849</v>
      </c>
      <c r="C10" s="12">
        <v>5.1799999999999999E-2</v>
      </c>
      <c r="D10" s="11">
        <v>1.76</v>
      </c>
      <c r="E10" s="12">
        <v>9.74E-2</v>
      </c>
      <c r="F10" s="11">
        <v>1.669</v>
      </c>
      <c r="G10" s="12">
        <v>0.14410000000000001</v>
      </c>
      <c r="H10" s="11">
        <v>4.5599999999999996</v>
      </c>
      <c r="I10" s="11">
        <v>4.67</v>
      </c>
      <c r="J10" s="13">
        <v>148252</v>
      </c>
      <c r="K10" s="13">
        <v>140582</v>
      </c>
    </row>
    <row r="11" spans="1:11" ht="20.5" customHeight="1">
      <c r="A11" s="11">
        <v>2032</v>
      </c>
      <c r="B11" s="11">
        <v>1.825</v>
      </c>
      <c r="C11" s="12">
        <v>6.4100000000000004E-2</v>
      </c>
      <c r="D11" s="11">
        <v>1.722</v>
      </c>
      <c r="E11" s="12">
        <v>0.1169</v>
      </c>
      <c r="F11" s="11">
        <v>1.5940000000000001</v>
      </c>
      <c r="G11" s="12">
        <v>0.1726</v>
      </c>
      <c r="H11" s="11">
        <v>5.28</v>
      </c>
      <c r="I11" s="11">
        <v>6.57</v>
      </c>
      <c r="J11" s="13">
        <v>143878</v>
      </c>
      <c r="K11" s="13">
        <v>133185</v>
      </c>
    </row>
    <row r="12" spans="1:11" ht="20.5" customHeight="1">
      <c r="A12" s="11">
        <v>2033</v>
      </c>
      <c r="B12" s="11">
        <v>1.8</v>
      </c>
      <c r="C12" s="12">
        <v>7.6899999999999996E-2</v>
      </c>
      <c r="D12" s="11">
        <v>1.6839999999999999</v>
      </c>
      <c r="E12" s="12">
        <v>0.13639999999999999</v>
      </c>
      <c r="F12" s="11">
        <v>1.52</v>
      </c>
      <c r="G12" s="12">
        <v>0.20050000000000001</v>
      </c>
      <c r="H12" s="11">
        <v>5.95</v>
      </c>
      <c r="I12" s="11">
        <v>8.41</v>
      </c>
      <c r="J12" s="13">
        <v>139521</v>
      </c>
      <c r="K12" s="13">
        <v>125910</v>
      </c>
    </row>
    <row r="13" spans="1:11" ht="20.5" customHeight="1">
      <c r="A13" s="11">
        <v>2034</v>
      </c>
      <c r="B13" s="11">
        <v>1.776</v>
      </c>
      <c r="C13" s="12">
        <v>8.9200000000000002E-2</v>
      </c>
      <c r="D13" s="11">
        <v>1.6459999999999999</v>
      </c>
      <c r="E13" s="12">
        <v>0.15590000000000001</v>
      </c>
      <c r="F13" s="11">
        <v>1.4450000000000001</v>
      </c>
      <c r="G13" s="12">
        <v>0.22900000000000001</v>
      </c>
      <c r="H13" s="11">
        <v>6.67</v>
      </c>
      <c r="I13" s="11">
        <v>10.31</v>
      </c>
      <c r="J13" s="13">
        <v>135221</v>
      </c>
      <c r="K13" s="13">
        <v>118720</v>
      </c>
    </row>
    <row r="14" spans="1:11" ht="20.5" customHeight="1">
      <c r="A14" s="11">
        <v>2035</v>
      </c>
      <c r="B14" s="11">
        <v>1.7509999999999999</v>
      </c>
      <c r="C14" s="12">
        <v>0.10199999999999999</v>
      </c>
      <c r="D14" s="11">
        <v>1.607</v>
      </c>
      <c r="E14" s="12">
        <v>0.1759</v>
      </c>
      <c r="F14" s="11">
        <v>1.37</v>
      </c>
      <c r="G14" s="12">
        <v>0.25740000000000002</v>
      </c>
      <c r="H14" s="11">
        <v>7.39</v>
      </c>
      <c r="I14" s="11">
        <v>12.15</v>
      </c>
      <c r="J14" s="13">
        <v>134988</v>
      </c>
      <c r="K14" s="13">
        <v>115080</v>
      </c>
    </row>
    <row r="15" spans="1:11" ht="20.5" customHeight="1">
      <c r="A15" s="11">
        <v>2036</v>
      </c>
      <c r="B15" s="11">
        <v>1.6910000000000001</v>
      </c>
      <c r="C15" s="12">
        <v>0.1328</v>
      </c>
      <c r="D15" s="11">
        <v>1.516</v>
      </c>
      <c r="E15" s="12">
        <v>0.22259999999999999</v>
      </c>
      <c r="F15" s="11">
        <v>1.266</v>
      </c>
      <c r="G15" s="12">
        <v>0.30080000000000001</v>
      </c>
      <c r="H15" s="11">
        <v>8.98</v>
      </c>
      <c r="I15" s="11">
        <v>12.82</v>
      </c>
      <c r="J15" s="13">
        <v>124312</v>
      </c>
      <c r="K15" s="13">
        <v>103812</v>
      </c>
    </row>
    <row r="16" spans="1:11" ht="20.5" customHeight="1">
      <c r="A16" s="11">
        <v>2037</v>
      </c>
      <c r="B16" s="11">
        <v>1.631</v>
      </c>
      <c r="C16" s="12">
        <v>0.1636</v>
      </c>
      <c r="D16" s="11">
        <v>1.4239999999999999</v>
      </c>
      <c r="E16" s="12">
        <v>0.27</v>
      </c>
      <c r="F16" s="11">
        <v>1.1619999999999999</v>
      </c>
      <c r="G16" s="12">
        <v>0.35410000000000003</v>
      </c>
      <c r="H16" s="11">
        <v>10.64</v>
      </c>
      <c r="I16" s="11">
        <v>13.41</v>
      </c>
      <c r="J16" s="13">
        <v>114347</v>
      </c>
      <c r="K16" s="13">
        <v>93308</v>
      </c>
    </row>
    <row r="17" spans="1:11" ht="20.5" customHeight="1">
      <c r="A17" s="11">
        <v>2038</v>
      </c>
      <c r="B17" s="11">
        <v>1.571</v>
      </c>
      <c r="C17" s="12">
        <v>0.19439999999999999</v>
      </c>
      <c r="D17" s="11">
        <v>1.333</v>
      </c>
      <c r="E17" s="12">
        <v>0.31640000000000001</v>
      </c>
      <c r="F17" s="11">
        <v>1.0580000000000001</v>
      </c>
      <c r="G17" s="12">
        <v>0.40739999999999998</v>
      </c>
      <c r="H17" s="11">
        <v>12.2</v>
      </c>
      <c r="I17" s="11">
        <v>14.1</v>
      </c>
      <c r="J17" s="13">
        <v>104774</v>
      </c>
      <c r="K17" s="13">
        <v>83159</v>
      </c>
    </row>
    <row r="18" spans="1:11" ht="20.5" customHeight="1">
      <c r="A18" s="11">
        <v>2039</v>
      </c>
      <c r="B18" s="11">
        <v>1.51</v>
      </c>
      <c r="C18" s="12">
        <v>0.22559999999999999</v>
      </c>
      <c r="D18" s="11">
        <v>1.2410000000000001</v>
      </c>
      <c r="E18" s="12">
        <v>0.36359999999999998</v>
      </c>
      <c r="F18" s="11">
        <v>0.95399999999999996</v>
      </c>
      <c r="G18" s="12">
        <v>0.51080000000000003</v>
      </c>
      <c r="H18" s="11">
        <v>13.8</v>
      </c>
      <c r="I18" s="11">
        <v>14.72</v>
      </c>
      <c r="J18" s="13">
        <v>95557</v>
      </c>
      <c r="K18" s="13">
        <v>73458</v>
      </c>
    </row>
    <row r="19" spans="1:11" ht="20.5" customHeight="1">
      <c r="A19" s="11">
        <v>2040</v>
      </c>
      <c r="B19" s="11">
        <v>1.45</v>
      </c>
      <c r="C19" s="12">
        <v>0.25640000000000002</v>
      </c>
      <c r="D19" s="11">
        <v>1.1499999999999999</v>
      </c>
      <c r="E19" s="12">
        <v>0.4103</v>
      </c>
      <c r="F19" s="11">
        <v>0.85</v>
      </c>
      <c r="G19" s="12">
        <v>0.56410000000000005</v>
      </c>
      <c r="H19" s="11">
        <v>15.39</v>
      </c>
      <c r="I19" s="11">
        <v>15.38</v>
      </c>
      <c r="J19" s="13">
        <v>83406</v>
      </c>
      <c r="K19" s="13">
        <v>61648</v>
      </c>
    </row>
    <row r="20" spans="1:11" ht="20.5" customHeight="1">
      <c r="A20" s="11">
        <v>2041</v>
      </c>
      <c r="B20" s="11">
        <v>1.38</v>
      </c>
      <c r="C20" s="12">
        <v>0.2923</v>
      </c>
      <c r="D20" s="11">
        <v>1.075</v>
      </c>
      <c r="E20" s="12">
        <v>0.44869999999999999</v>
      </c>
      <c r="F20" s="11">
        <v>0.78200000000000003</v>
      </c>
      <c r="G20" s="12">
        <v>0.59899999999999998</v>
      </c>
      <c r="H20" s="11">
        <v>15.64</v>
      </c>
      <c r="I20" s="11">
        <v>15.03</v>
      </c>
      <c r="J20" s="13">
        <v>76824</v>
      </c>
      <c r="K20" s="13">
        <v>55885</v>
      </c>
    </row>
    <row r="21" spans="1:11" ht="20.5" customHeight="1">
      <c r="A21" s="11">
        <v>2042</v>
      </c>
      <c r="B21" s="11">
        <v>1.31</v>
      </c>
      <c r="C21" s="12">
        <v>0.32819999999999999</v>
      </c>
      <c r="D21" s="11">
        <v>1</v>
      </c>
      <c r="E21" s="12">
        <v>0.48720000000000002</v>
      </c>
      <c r="F21" s="11">
        <v>0.71399999999999997</v>
      </c>
      <c r="G21" s="12">
        <v>0.63380000000000003</v>
      </c>
      <c r="H21" s="11">
        <v>15.9</v>
      </c>
      <c r="I21" s="11">
        <v>14.66</v>
      </c>
      <c r="J21" s="13">
        <v>70402</v>
      </c>
      <c r="K21" s="13">
        <v>50266</v>
      </c>
    </row>
    <row r="22" spans="1:11" ht="20.5" customHeight="1">
      <c r="A22" s="11">
        <v>2043</v>
      </c>
      <c r="B22" s="11">
        <v>1.24</v>
      </c>
      <c r="C22" s="12">
        <v>0.36409999999999998</v>
      </c>
      <c r="D22" s="11">
        <v>0.92500000000000004</v>
      </c>
      <c r="E22" s="12">
        <v>0.52559999999999996</v>
      </c>
      <c r="F22" s="11">
        <v>0.64600000000000002</v>
      </c>
      <c r="G22" s="12">
        <v>0.66869999999999996</v>
      </c>
      <c r="H22" s="11">
        <v>16.149999999999999</v>
      </c>
      <c r="I22" s="11">
        <v>14.31</v>
      </c>
      <c r="J22" s="13">
        <v>64139</v>
      </c>
      <c r="K22" s="13">
        <v>44794</v>
      </c>
    </row>
    <row r="23" spans="1:11" ht="20.5" customHeight="1">
      <c r="A23" s="11">
        <v>2044</v>
      </c>
      <c r="B23" s="11">
        <v>1.17</v>
      </c>
      <c r="C23" s="12">
        <v>0.4</v>
      </c>
      <c r="D23" s="11">
        <v>0.85</v>
      </c>
      <c r="E23" s="12">
        <v>0.56410000000000005</v>
      </c>
      <c r="F23" s="11">
        <v>0.57799999999999996</v>
      </c>
      <c r="G23" s="12">
        <v>0.7036</v>
      </c>
      <c r="H23" s="11">
        <v>16.41</v>
      </c>
      <c r="I23" s="11">
        <v>13.95</v>
      </c>
      <c r="J23" s="13">
        <v>58035</v>
      </c>
      <c r="K23" s="13">
        <v>39463</v>
      </c>
    </row>
    <row r="24" spans="1:11" ht="20.5" customHeight="1">
      <c r="A24" s="11">
        <v>2045</v>
      </c>
      <c r="B24" s="11">
        <v>1.1000000000000001</v>
      </c>
      <c r="C24" s="12">
        <v>0.43590000000000001</v>
      </c>
      <c r="D24" s="11">
        <v>0.77500000000000002</v>
      </c>
      <c r="E24" s="12">
        <v>0.60260000000000002</v>
      </c>
      <c r="F24" s="11">
        <v>0.51</v>
      </c>
      <c r="G24" s="12">
        <v>0.73850000000000005</v>
      </c>
      <c r="H24" s="11">
        <v>16.670000000000002</v>
      </c>
      <c r="I24" s="11">
        <v>13.59</v>
      </c>
      <c r="J24" s="13">
        <v>52066</v>
      </c>
      <c r="K24" s="13">
        <v>34263</v>
      </c>
    </row>
    <row r="25" spans="1:11" ht="20.5" customHeight="1">
      <c r="A25" s="11">
        <v>2046</v>
      </c>
      <c r="B25" s="11">
        <v>1.03</v>
      </c>
      <c r="C25" s="12">
        <v>0.4718</v>
      </c>
      <c r="D25" s="11">
        <v>0.7</v>
      </c>
      <c r="E25" s="12">
        <v>0.64100000000000001</v>
      </c>
      <c r="F25" s="11">
        <v>0.442</v>
      </c>
      <c r="G25" s="12">
        <v>0.77329999999999999</v>
      </c>
      <c r="H25" s="11">
        <v>16.920000000000002</v>
      </c>
      <c r="I25" s="11">
        <v>13.23</v>
      </c>
      <c r="J25" s="13">
        <v>46236</v>
      </c>
      <c r="K25" s="13">
        <v>29195</v>
      </c>
    </row>
    <row r="26" spans="1:11" ht="20.5" customHeight="1">
      <c r="A26" s="11">
        <v>2047</v>
      </c>
      <c r="B26" s="11">
        <v>0.96</v>
      </c>
      <c r="C26" s="12">
        <v>0.50770000000000004</v>
      </c>
      <c r="D26" s="11">
        <v>0.625</v>
      </c>
      <c r="E26" s="12">
        <v>0.67949999999999999</v>
      </c>
      <c r="F26" s="11">
        <v>0.374</v>
      </c>
      <c r="G26" s="12">
        <v>0.80820000000000003</v>
      </c>
      <c r="H26" s="11">
        <v>17.18</v>
      </c>
      <c r="I26" s="11">
        <v>12.87</v>
      </c>
      <c r="J26" s="13">
        <v>40680</v>
      </c>
      <c r="K26" s="13">
        <v>24343</v>
      </c>
    </row>
    <row r="27" spans="1:11" ht="20.5" customHeight="1">
      <c r="A27" s="11">
        <v>2048</v>
      </c>
      <c r="B27" s="11">
        <v>0.89</v>
      </c>
      <c r="C27" s="12">
        <v>0.54359999999999997</v>
      </c>
      <c r="D27" s="11">
        <v>0.55000000000000004</v>
      </c>
      <c r="E27" s="12">
        <v>0.71789999999999998</v>
      </c>
      <c r="F27" s="11">
        <v>0.30599999999999999</v>
      </c>
      <c r="G27" s="12">
        <v>0.84309999999999996</v>
      </c>
      <c r="H27" s="11">
        <v>17.43</v>
      </c>
      <c r="I27" s="11">
        <v>12.52</v>
      </c>
      <c r="J27" s="13">
        <v>35214</v>
      </c>
      <c r="K27" s="13">
        <v>19573</v>
      </c>
    </row>
    <row r="28" spans="1:11" ht="20.5" customHeight="1">
      <c r="A28" s="11">
        <v>2049</v>
      </c>
      <c r="B28" s="11">
        <v>0.82</v>
      </c>
      <c r="C28" s="12">
        <v>0.57950000000000002</v>
      </c>
      <c r="D28" s="11">
        <v>0.47499999999999998</v>
      </c>
      <c r="E28" s="12">
        <v>0.75639999999999996</v>
      </c>
      <c r="F28" s="11">
        <v>0.23799999999999999</v>
      </c>
      <c r="G28" s="12">
        <v>0.87790000000000001</v>
      </c>
      <c r="H28" s="11">
        <v>17.690000000000001</v>
      </c>
      <c r="I28" s="11">
        <v>12.15</v>
      </c>
      <c r="J28" s="13">
        <v>29907</v>
      </c>
      <c r="K28" s="13">
        <v>14992</v>
      </c>
    </row>
    <row r="29" spans="1:11" ht="20.5" customHeight="1">
      <c r="A29" s="11">
        <v>2050</v>
      </c>
      <c r="B29" s="11">
        <v>0.75</v>
      </c>
      <c r="C29" s="12">
        <v>0.61539999999999995</v>
      </c>
      <c r="D29" s="11">
        <v>0.4</v>
      </c>
      <c r="E29" s="12">
        <v>0.79490000000000005</v>
      </c>
      <c r="F29" s="11">
        <v>0.17</v>
      </c>
      <c r="G29" s="12">
        <v>0.91279999999999994</v>
      </c>
      <c r="H29" s="11">
        <v>17.95</v>
      </c>
      <c r="I29" s="11">
        <v>11.79</v>
      </c>
      <c r="J29" s="13">
        <v>24760</v>
      </c>
      <c r="K29" s="13">
        <v>10523</v>
      </c>
    </row>
    <row r="30" spans="1:11" ht="20.5" customHeight="1">
      <c r="A30" s="11">
        <v>2051</v>
      </c>
      <c r="B30" s="11">
        <v>0.68700000000000006</v>
      </c>
      <c r="C30" s="12">
        <v>0.64770000000000005</v>
      </c>
      <c r="D30" s="11">
        <v>0.36499999999999999</v>
      </c>
      <c r="E30" s="12">
        <v>0.81279999999999997</v>
      </c>
      <c r="F30" s="11">
        <v>0.154</v>
      </c>
      <c r="G30" s="12">
        <v>0.92100000000000004</v>
      </c>
      <c r="H30" s="11">
        <v>16.510000000000002</v>
      </c>
      <c r="I30" s="11">
        <v>10.82</v>
      </c>
      <c r="J30" s="13">
        <v>22231</v>
      </c>
      <c r="K30" s="13">
        <v>9380</v>
      </c>
    </row>
    <row r="31" spans="1:11" ht="20.5" customHeight="1">
      <c r="A31" s="11">
        <v>2052</v>
      </c>
      <c r="B31" s="11">
        <v>0.624</v>
      </c>
      <c r="C31" s="12">
        <v>0.68</v>
      </c>
      <c r="D31" s="11">
        <v>0.33</v>
      </c>
      <c r="E31" s="12">
        <v>0.83079999999999998</v>
      </c>
      <c r="F31" s="11">
        <v>0.13800000000000001</v>
      </c>
      <c r="G31" s="12">
        <v>0.92920000000000003</v>
      </c>
      <c r="H31" s="11">
        <v>15.08</v>
      </c>
      <c r="I31" s="11">
        <v>9.84</v>
      </c>
      <c r="J31" s="13">
        <v>19777</v>
      </c>
      <c r="K31" s="13">
        <v>8270</v>
      </c>
    </row>
    <row r="32" spans="1:11" ht="20.5" customHeight="1">
      <c r="A32" s="11">
        <v>2053</v>
      </c>
      <c r="B32" s="11">
        <v>0.56100000000000005</v>
      </c>
      <c r="C32" s="12">
        <v>0.71230000000000004</v>
      </c>
      <c r="D32" s="11">
        <v>0.29499999999999998</v>
      </c>
      <c r="E32" s="12">
        <v>0.84870000000000001</v>
      </c>
      <c r="F32" s="11">
        <v>0.122</v>
      </c>
      <c r="G32" s="12">
        <v>0.93740000000000001</v>
      </c>
      <c r="H32" s="11">
        <v>13.64</v>
      </c>
      <c r="I32" s="11">
        <v>8.8699999999999992</v>
      </c>
      <c r="J32" s="13">
        <v>17396</v>
      </c>
      <c r="K32" s="13">
        <v>7194</v>
      </c>
    </row>
    <row r="33" spans="1:11" ht="20.5" customHeight="1">
      <c r="A33" s="11">
        <v>2054</v>
      </c>
      <c r="B33" s="11">
        <v>0.498</v>
      </c>
      <c r="C33" s="12">
        <v>0.74460000000000004</v>
      </c>
      <c r="D33" s="11">
        <v>0.26</v>
      </c>
      <c r="E33" s="12">
        <v>0.86670000000000003</v>
      </c>
      <c r="F33" s="11">
        <v>0.106</v>
      </c>
      <c r="G33" s="12">
        <v>0.9456</v>
      </c>
      <c r="H33" s="11">
        <v>12.21</v>
      </c>
      <c r="I33" s="11">
        <v>7.89</v>
      </c>
      <c r="J33" s="13">
        <v>15087</v>
      </c>
      <c r="K33" s="13">
        <v>6151</v>
      </c>
    </row>
    <row r="34" spans="1:11" ht="20.5" customHeight="1">
      <c r="A34" s="11">
        <v>2055</v>
      </c>
      <c r="B34" s="11">
        <v>0.435</v>
      </c>
      <c r="C34" s="12">
        <v>0.77690000000000003</v>
      </c>
      <c r="D34" s="11">
        <v>0.22500000000000001</v>
      </c>
      <c r="E34" s="12">
        <v>0.88460000000000005</v>
      </c>
      <c r="F34" s="11">
        <v>0.09</v>
      </c>
      <c r="G34" s="12">
        <v>0.95379999999999998</v>
      </c>
      <c r="H34" s="11">
        <v>10.77</v>
      </c>
      <c r="I34" s="11">
        <v>6.92</v>
      </c>
      <c r="J34" s="13">
        <v>12848</v>
      </c>
      <c r="K34" s="13">
        <v>5139</v>
      </c>
    </row>
    <row r="35" spans="1:11" ht="20.5" customHeight="1">
      <c r="A35" s="11">
        <v>2056</v>
      </c>
      <c r="B35" s="11">
        <v>0.372</v>
      </c>
      <c r="C35" s="12">
        <v>0.80920000000000003</v>
      </c>
      <c r="D35" s="11">
        <v>0.19</v>
      </c>
      <c r="E35" s="12">
        <v>0.90259999999999996</v>
      </c>
      <c r="F35" s="11">
        <v>7.3999999999999996E-2</v>
      </c>
      <c r="G35" s="12">
        <v>0.96209999999999996</v>
      </c>
      <c r="H35" s="11">
        <v>9.34</v>
      </c>
      <c r="I35" s="11">
        <v>5.95</v>
      </c>
      <c r="J35" s="13">
        <v>10677</v>
      </c>
      <c r="K35" s="13">
        <v>4159</v>
      </c>
    </row>
    <row r="36" spans="1:11" ht="20.5" customHeight="1">
      <c r="A36" s="11">
        <v>2057</v>
      </c>
      <c r="B36" s="11">
        <v>0.309</v>
      </c>
      <c r="C36" s="12">
        <v>0.84150000000000003</v>
      </c>
      <c r="D36" s="11">
        <v>0.155</v>
      </c>
      <c r="E36" s="12">
        <v>0.92049999999999998</v>
      </c>
      <c r="F36" s="11">
        <v>5.8000000000000003E-2</v>
      </c>
      <c r="G36" s="12">
        <v>0.97030000000000005</v>
      </c>
      <c r="H36" s="11">
        <v>7.9</v>
      </c>
      <c r="I36" s="11">
        <v>4.9800000000000004</v>
      </c>
      <c r="J36" s="13">
        <v>8573</v>
      </c>
      <c r="K36" s="13">
        <v>3208</v>
      </c>
    </row>
    <row r="37" spans="1:11" ht="20.5" customHeight="1">
      <c r="A37" s="11">
        <v>2058</v>
      </c>
      <c r="B37" s="11">
        <v>0.246</v>
      </c>
      <c r="C37" s="12">
        <v>0.87380000000000002</v>
      </c>
      <c r="D37" s="11">
        <v>0.12</v>
      </c>
      <c r="E37" s="12">
        <v>0.9385</v>
      </c>
      <c r="F37" s="11">
        <v>4.2000000000000003E-2</v>
      </c>
      <c r="G37" s="12">
        <v>0.97850000000000004</v>
      </c>
      <c r="H37" s="11">
        <v>6.47</v>
      </c>
      <c r="I37" s="11">
        <v>4</v>
      </c>
      <c r="J37" s="13">
        <v>6532</v>
      </c>
      <c r="K37" s="13">
        <v>2286</v>
      </c>
    </row>
    <row r="38" spans="1:11" ht="20.5" customHeight="1">
      <c r="A38" s="11">
        <v>2059</v>
      </c>
      <c r="B38" s="11">
        <v>0.183</v>
      </c>
      <c r="C38" s="12">
        <v>0.90620000000000001</v>
      </c>
      <c r="D38" s="11">
        <v>8.5000000000000006E-2</v>
      </c>
      <c r="E38" s="12">
        <v>0.95640000000000003</v>
      </c>
      <c r="F38" s="11">
        <v>2.5999999999999999E-2</v>
      </c>
      <c r="G38" s="12">
        <v>0.98670000000000002</v>
      </c>
      <c r="H38" s="11">
        <v>5.0199999999999996</v>
      </c>
      <c r="I38" s="11">
        <v>3.03</v>
      </c>
      <c r="J38" s="13">
        <v>4554</v>
      </c>
      <c r="K38" s="13">
        <v>1393</v>
      </c>
    </row>
    <row r="39" spans="1:11" ht="20.5" customHeight="1">
      <c r="A39" s="11">
        <v>2060</v>
      </c>
      <c r="B39" s="11">
        <v>0.12</v>
      </c>
      <c r="C39" s="12">
        <v>0.9385</v>
      </c>
      <c r="D39" s="11">
        <v>0.05</v>
      </c>
      <c r="E39" s="12">
        <v>0.97440000000000004</v>
      </c>
      <c r="F39" s="11">
        <v>0.01</v>
      </c>
      <c r="G39" s="12">
        <v>0.99490000000000001</v>
      </c>
      <c r="H39" s="11">
        <v>3.59</v>
      </c>
      <c r="I39" s="11">
        <v>2.0499999999999998</v>
      </c>
      <c r="J39" s="13">
        <v>2636</v>
      </c>
      <c r="K39" s="11">
        <v>527</v>
      </c>
    </row>
  </sheetData>
  <mergeCells count="1">
    <mergeCell ref="A1:I1"/>
  </mergeCells>
  <phoneticPr fontId="9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BF8F00"/>
  </sheetPr>
  <dimension ref="A1:H86"/>
  <sheetViews>
    <sheetView workbookViewId="0">
      <selection sqref="A1:H1"/>
    </sheetView>
  </sheetViews>
  <sheetFormatPr baseColWidth="10" defaultColWidth="9" defaultRowHeight="14"/>
  <cols>
    <col min="1" max="8" width="18" customWidth="1"/>
  </cols>
  <sheetData>
    <row r="1" spans="1:8" ht="20.5" customHeight="1">
      <c r="A1" s="38" t="s">
        <v>222</v>
      </c>
      <c r="B1" s="35"/>
      <c r="C1" s="35"/>
      <c r="D1" s="35"/>
      <c r="E1" s="35"/>
      <c r="F1" s="35"/>
      <c r="G1" s="35"/>
      <c r="H1" s="36"/>
    </row>
    <row r="2" spans="1:8">
      <c r="A2" s="39" t="s">
        <v>223</v>
      </c>
      <c r="B2" s="35"/>
      <c r="C2" s="35"/>
      <c r="D2" s="35"/>
      <c r="E2" s="35"/>
      <c r="F2" s="35"/>
      <c r="G2" s="35"/>
      <c r="H2" s="36"/>
    </row>
    <row r="4" spans="1:8" ht="17.5" customHeight="1">
      <c r="A4" s="34" t="s">
        <v>224</v>
      </c>
      <c r="B4" s="35"/>
      <c r="C4" s="35"/>
      <c r="D4" s="36"/>
    </row>
    <row r="5" spans="1:8" ht="31" customHeight="1">
      <c r="A5" s="3" t="s">
        <v>225</v>
      </c>
      <c r="C5" s="8" t="s">
        <v>226</v>
      </c>
    </row>
    <row r="6" spans="1:8" ht="31" customHeight="1">
      <c r="A6" s="3" t="s">
        <v>227</v>
      </c>
      <c r="C6" s="8" t="s">
        <v>226</v>
      </c>
    </row>
    <row r="7" spans="1:8" ht="31" customHeight="1">
      <c r="A7" s="3" t="s">
        <v>228</v>
      </c>
      <c r="C7" s="8" t="s">
        <v>226</v>
      </c>
    </row>
    <row r="8" spans="1:8" ht="31" customHeight="1">
      <c r="A8" s="3" t="s">
        <v>229</v>
      </c>
      <c r="C8" s="8" t="s">
        <v>226</v>
      </c>
    </row>
    <row r="9" spans="1:8" ht="31" customHeight="1">
      <c r="A9" s="3" t="s">
        <v>230</v>
      </c>
      <c r="C9" s="8" t="s">
        <v>226</v>
      </c>
    </row>
    <row r="12" spans="1:8" ht="17.5" customHeight="1">
      <c r="A12" s="34" t="s">
        <v>231</v>
      </c>
      <c r="B12" s="35"/>
      <c r="C12" s="35"/>
      <c r="D12" s="35"/>
      <c r="E12" s="35"/>
      <c r="F12" s="35"/>
      <c r="G12" s="35"/>
      <c r="H12" s="36"/>
    </row>
    <row r="13" spans="1:8" ht="17" customHeight="1">
      <c r="A13" s="1" t="s">
        <v>211</v>
      </c>
      <c r="B13" s="1" t="s">
        <v>232</v>
      </c>
      <c r="C13" s="1" t="s">
        <v>233</v>
      </c>
      <c r="D13" s="1" t="s">
        <v>234</v>
      </c>
      <c r="E13" s="1" t="s">
        <v>235</v>
      </c>
      <c r="F13" s="1" t="s">
        <v>236</v>
      </c>
      <c r="G13" s="1" t="s">
        <v>237</v>
      </c>
      <c r="H13" s="1" t="s">
        <v>238</v>
      </c>
    </row>
    <row r="14" spans="1:8" ht="16" customHeight="1">
      <c r="A14" s="2">
        <v>2024</v>
      </c>
      <c r="B14" s="9"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</row>
    <row r="16" spans="1:8" ht="16" customHeight="1">
      <c r="A16" s="2">
        <v>2025</v>
      </c>
      <c r="B16" s="9">
        <v>8634.6</v>
      </c>
      <c r="C16" s="9">
        <v>-2052.34339090908</v>
      </c>
      <c r="D16" s="9">
        <v>-613.72080000000005</v>
      </c>
      <c r="E16" s="9">
        <v>37.488289516363501</v>
      </c>
      <c r="F16" s="9">
        <v>1173.9552737115</v>
      </c>
      <c r="G16" s="9">
        <v>5764.86</v>
      </c>
      <c r="H16" s="9">
        <v>0</v>
      </c>
    </row>
    <row r="18" spans="1:8" ht="16" customHeight="1">
      <c r="A18" s="2">
        <v>2026</v>
      </c>
      <c r="B18" s="9">
        <v>13170.570009048301</v>
      </c>
      <c r="C18" s="9">
        <v>-2822.1283418471498</v>
      </c>
      <c r="D18" s="9">
        <v>-546.29087715473099</v>
      </c>
      <c r="E18" s="9">
        <v>152.15380562542401</v>
      </c>
      <c r="F18" s="9">
        <v>1692.00922404842</v>
      </c>
      <c r="G18" s="9">
        <v>6328.4531535329397</v>
      </c>
      <c r="H18" s="9">
        <v>0</v>
      </c>
    </row>
    <row r="20" spans="1:8" ht="16" customHeight="1">
      <c r="A20" s="2">
        <v>2027</v>
      </c>
      <c r="B20" s="9">
        <v>17596.723360074</v>
      </c>
      <c r="C20" s="9">
        <v>-3573.1904560610401</v>
      </c>
      <c r="D20" s="9">
        <v>-489.93136583006901</v>
      </c>
      <c r="E20" s="9">
        <v>284.00940495140202</v>
      </c>
      <c r="F20" s="9">
        <v>2438.7656181864199</v>
      </c>
      <c r="G20" s="9">
        <v>6175.2401529205199</v>
      </c>
      <c r="H20" s="9">
        <v>0</v>
      </c>
    </row>
    <row r="22" spans="1:8" ht="16" customHeight="1">
      <c r="A22" s="2">
        <v>2028</v>
      </c>
      <c r="B22" s="9">
        <v>21915.718734319398</v>
      </c>
      <c r="C22" s="9">
        <v>-4304.8059520856596</v>
      </c>
      <c r="D22" s="9">
        <v>-444.14575557362298</v>
      </c>
      <c r="E22" s="9">
        <v>435.63213917497598</v>
      </c>
      <c r="F22" s="9">
        <v>3515.2519552435801</v>
      </c>
      <c r="G22" s="9">
        <v>8614.5713934041996</v>
      </c>
      <c r="H22" s="9">
        <v>0</v>
      </c>
    </row>
    <row r="24" spans="1:8" ht="16" customHeight="1">
      <c r="A24" s="2">
        <v>2029</v>
      </c>
      <c r="B24" s="9">
        <v>26130.150445871001</v>
      </c>
      <c r="C24" s="9">
        <v>-5016.1202957306596</v>
      </c>
      <c r="D24" s="9">
        <v>-408.45508841715201</v>
      </c>
      <c r="E24" s="9">
        <v>609.98539873278105</v>
      </c>
      <c r="F24" s="9">
        <v>5067.1681515741002</v>
      </c>
      <c r="G24" s="9">
        <v>10409.5162803684</v>
      </c>
      <c r="H24" s="9">
        <v>0</v>
      </c>
    </row>
    <row r="26" spans="1:8" ht="16" customHeight="1">
      <c r="A26" s="2">
        <v>2030</v>
      </c>
      <c r="B26" s="9">
        <v>30242.55</v>
      </c>
      <c r="C26" s="9">
        <v>-5706.12845454545</v>
      </c>
      <c r="D26" s="9">
        <v>-382.39740000000199</v>
      </c>
      <c r="E26" s="9">
        <v>810.47683080000002</v>
      </c>
      <c r="F26" s="9">
        <v>7304.6707125000003</v>
      </c>
      <c r="G26" s="9">
        <v>10157.5</v>
      </c>
      <c r="H26" s="9">
        <v>650</v>
      </c>
    </row>
    <row r="28" spans="1:8" ht="16" customHeight="1">
      <c r="A28" s="2">
        <v>2031</v>
      </c>
      <c r="B28" s="9">
        <v>31677.822486521</v>
      </c>
      <c r="C28" s="9">
        <v>-5897.9580660309102</v>
      </c>
      <c r="D28" s="9">
        <v>-336.208571466374</v>
      </c>
      <c r="E28" s="9">
        <v>947.41979137100498</v>
      </c>
      <c r="F28" s="9">
        <v>7931.0277914138796</v>
      </c>
      <c r="G28" s="9">
        <v>10457.157786883499</v>
      </c>
      <c r="H28" s="9">
        <v>1160.49997474065</v>
      </c>
    </row>
    <row r="30" spans="1:8" ht="16" customHeight="1">
      <c r="A30" s="2">
        <v>2032</v>
      </c>
      <c r="B30" s="9">
        <v>33100.666574184899</v>
      </c>
      <c r="C30" s="9">
        <v>-6084.5913754132598</v>
      </c>
      <c r="D30" s="9">
        <v>-291.83554336431803</v>
      </c>
      <c r="E30" s="9">
        <v>1096.55722418186</v>
      </c>
      <c r="F30" s="9">
        <v>8611.3163279085293</v>
      </c>
      <c r="G30" s="9">
        <v>15587.5002293626</v>
      </c>
      <c r="H30" s="9">
        <v>1104.9332409303099</v>
      </c>
    </row>
    <row r="32" spans="1:8" ht="16" customHeight="1">
      <c r="A32" s="2">
        <v>2033</v>
      </c>
      <c r="B32" s="9">
        <v>34511.189883739396</v>
      </c>
      <c r="C32" s="9">
        <v>-6265.6605811318204</v>
      </c>
      <c r="D32" s="9">
        <v>-249.25033208227899</v>
      </c>
      <c r="E32" s="9">
        <v>1258.9750204137499</v>
      </c>
      <c r="F32" s="9">
        <v>9350.2227623352901</v>
      </c>
      <c r="G32" s="9">
        <v>15618.145906629101</v>
      </c>
      <c r="H32" s="9">
        <v>1879.3986410056</v>
      </c>
    </row>
    <row r="34" spans="1:8" ht="16" customHeight="1">
      <c r="A34" s="2">
        <v>2034</v>
      </c>
      <c r="B34" s="9">
        <v>35909.499104016002</v>
      </c>
      <c r="C34" s="9">
        <v>-6440.7651563520903</v>
      </c>
      <c r="D34" s="9">
        <v>-208.425302489666</v>
      </c>
      <c r="E34" s="9">
        <v>1435.85576749136</v>
      </c>
      <c r="F34" s="9">
        <v>10152.848928159199</v>
      </c>
      <c r="G34" s="9">
        <v>15729.185923933601</v>
      </c>
      <c r="H34" s="9">
        <v>2197.54653783509</v>
      </c>
    </row>
    <row r="36" spans="1:8" ht="16" customHeight="1">
      <c r="A36" s="2">
        <v>2035</v>
      </c>
      <c r="B36" s="9">
        <v>37295.699999999997</v>
      </c>
      <c r="C36" s="9">
        <v>-6609.4689272727201</v>
      </c>
      <c r="D36" s="9">
        <v>-169.33316400000101</v>
      </c>
      <c r="E36" s="9">
        <v>1628.48735967273</v>
      </c>
      <c r="F36" s="9">
        <v>11024.750413137999</v>
      </c>
      <c r="G36" s="9">
        <v>18604.1538</v>
      </c>
      <c r="H36" s="9">
        <v>2499.8750184619898</v>
      </c>
    </row>
    <row r="38" spans="1:8" ht="16" customHeight="1">
      <c r="A38" s="2">
        <v>2036</v>
      </c>
      <c r="B38" s="9">
        <v>40910.508229848398</v>
      </c>
      <c r="C38" s="9">
        <v>-6778.6052428673702</v>
      </c>
      <c r="D38" s="9">
        <v>496.04762432289402</v>
      </c>
      <c r="E38" s="9">
        <v>1752.4257113547701</v>
      </c>
      <c r="F38" s="9">
        <v>11331.387675600399</v>
      </c>
      <c r="G38" s="9">
        <v>20089.089103148901</v>
      </c>
      <c r="H38" s="9">
        <v>6548.1631440852698</v>
      </c>
    </row>
    <row r="40" spans="1:8" ht="16" customHeight="1">
      <c r="A40" s="2">
        <v>2037</v>
      </c>
      <c r="B40" s="9">
        <v>44442.978098610402</v>
      </c>
      <c r="C40" s="9">
        <v>-6907.1933395600799</v>
      </c>
      <c r="D40" s="9">
        <v>1193.6008347792199</v>
      </c>
      <c r="E40" s="9">
        <v>1882.88425322577</v>
      </c>
      <c r="F40" s="9">
        <v>11648.4068773239</v>
      </c>
      <c r="G40" s="9">
        <v>20175.522495179899</v>
      </c>
      <c r="H40" s="9">
        <v>11217.0653563584</v>
      </c>
    </row>
    <row r="42" spans="1:8" ht="16" customHeight="1">
      <c r="A42" s="2">
        <v>2038</v>
      </c>
      <c r="B42" s="9">
        <v>47894.985115379503</v>
      </c>
      <c r="C42" s="9">
        <v>-6994.3690364805898</v>
      </c>
      <c r="D42" s="9">
        <v>1924.8820649517399</v>
      </c>
      <c r="E42" s="9">
        <v>2020.2060016283299</v>
      </c>
      <c r="F42" s="9">
        <v>11976.330960540699</v>
      </c>
      <c r="G42" s="9">
        <v>19715.962996947401</v>
      </c>
      <c r="H42" s="9">
        <v>14433.7051747081</v>
      </c>
    </row>
    <row r="44" spans="1:8" ht="16" customHeight="1">
      <c r="A44" s="2">
        <v>2039</v>
      </c>
      <c r="B44" s="9">
        <v>51268.362068768598</v>
      </c>
      <c r="C44" s="9">
        <v>-7039.2006844446696</v>
      </c>
      <c r="D44" s="9">
        <v>2691.5221285144899</v>
      </c>
      <c r="E44" s="9">
        <v>2164.7520184233199</v>
      </c>
      <c r="F44" s="9">
        <v>12315.7222410946</v>
      </c>
      <c r="G44" s="9">
        <v>19266.8713779219</v>
      </c>
      <c r="H44" s="9">
        <v>16479.499066258199</v>
      </c>
    </row>
    <row r="46" spans="1:8" ht="16" customHeight="1">
      <c r="A46" s="2">
        <v>2040</v>
      </c>
      <c r="B46" s="9">
        <v>54564.9</v>
      </c>
      <c r="C46" s="9">
        <v>-7040.6864514238496</v>
      </c>
      <c r="D46" s="9">
        <v>3495.2306920733299</v>
      </c>
      <c r="E46" s="9">
        <v>2316.9023603345399</v>
      </c>
      <c r="F46" s="9">
        <v>12667.1860394615</v>
      </c>
      <c r="G46" s="9">
        <v>18828.0092</v>
      </c>
      <c r="H46" s="9">
        <v>18304.913255262702</v>
      </c>
    </row>
    <row r="48" spans="1:8" ht="16" customHeight="1">
      <c r="A48" s="2">
        <v>2041</v>
      </c>
      <c r="B48" s="9">
        <v>56788.003885279897</v>
      </c>
      <c r="C48" s="9">
        <v>-6719.1486360008903</v>
      </c>
      <c r="D48" s="9">
        <v>4469.7631847857601</v>
      </c>
      <c r="E48" s="9">
        <v>2467.1024463409499</v>
      </c>
      <c r="F48" s="9">
        <v>12751.804436074</v>
      </c>
      <c r="G48" s="9">
        <v>18532.051369939101</v>
      </c>
      <c r="H48" s="9">
        <v>19971.9670459224</v>
      </c>
    </row>
    <row r="50" spans="1:8" ht="16" customHeight="1">
      <c r="A50" s="2">
        <v>2042</v>
      </c>
      <c r="B50" s="9">
        <v>58976.162758854203</v>
      </c>
      <c r="C50" s="9">
        <v>-6349.8921696525804</v>
      </c>
      <c r="D50" s="9">
        <v>5498.7961752282799</v>
      </c>
      <c r="E50" s="9">
        <v>2624.71316309237</v>
      </c>
      <c r="F50" s="9">
        <v>12839.701749948201</v>
      </c>
      <c r="G50" s="9">
        <v>18240.745706564801</v>
      </c>
      <c r="H50" s="9">
        <v>21517.898981226801</v>
      </c>
    </row>
    <row r="52" spans="1:8" ht="16" customHeight="1">
      <c r="A52" s="2">
        <v>2043</v>
      </c>
      <c r="B52" s="9">
        <v>61129.925922017799</v>
      </c>
      <c r="C52" s="9">
        <v>-5930.7376589622199</v>
      </c>
      <c r="D52" s="9">
        <v>6585.3775907661202</v>
      </c>
      <c r="E52" s="9">
        <v>2790.1001391945902</v>
      </c>
      <c r="F52" s="9">
        <v>12931.1153319733</v>
      </c>
      <c r="G52" s="9">
        <v>18853.103242901499</v>
      </c>
      <c r="H52" s="9">
        <v>22967.184619393902</v>
      </c>
    </row>
    <row r="54" spans="1:8" ht="16" customHeight="1">
      <c r="A54" s="2">
        <v>2044</v>
      </c>
      <c r="B54" s="9">
        <v>63249.834041588503</v>
      </c>
      <c r="C54" s="9">
        <v>-5459.3772147455302</v>
      </c>
      <c r="D54" s="9">
        <v>7732.7258133770301</v>
      </c>
      <c r="E54" s="9">
        <v>2963.64704278098</v>
      </c>
      <c r="F54" s="9">
        <v>13026.3005005826</v>
      </c>
      <c r="G54" s="9">
        <v>18556.750959109198</v>
      </c>
      <c r="H54" s="9">
        <v>24336.950738143201</v>
      </c>
    </row>
    <row r="56" spans="1:8" ht="16" customHeight="1">
      <c r="A56" s="2">
        <v>2045</v>
      </c>
      <c r="B56" s="9">
        <v>65336.419285632001</v>
      </c>
      <c r="C56" s="9">
        <v>-4933.3674230534198</v>
      </c>
      <c r="D56" s="9">
        <v>8944.2392122849305</v>
      </c>
      <c r="E56" s="9">
        <v>3145.7564715536801</v>
      </c>
      <c r="F56" s="9">
        <v>13125.531905866301</v>
      </c>
      <c r="G56" s="9">
        <v>18265.0570424291</v>
      </c>
      <c r="H56" s="9">
        <v>25639.747422691598</v>
      </c>
    </row>
    <row r="58" spans="1:8" ht="16" customHeight="1">
      <c r="A58" s="2">
        <v>2046</v>
      </c>
      <c r="B58" s="9">
        <v>67390.205457054297</v>
      </c>
      <c r="C58" s="9">
        <v>-4350.12192323198</v>
      </c>
      <c r="D58" s="9">
        <v>10223.506209703801</v>
      </c>
      <c r="E58" s="9">
        <v>3336.8508867381802</v>
      </c>
      <c r="F58" s="9">
        <v>13229.1049973341</v>
      </c>
      <c r="G58" s="9">
        <v>17977.948267901</v>
      </c>
      <c r="H58" s="9">
        <v>26885.102813581601</v>
      </c>
    </row>
    <row r="60" spans="1:8" ht="16" customHeight="1">
      <c r="A60" s="2">
        <v>2047</v>
      </c>
      <c r="B60" s="9">
        <v>69411.708125093603</v>
      </c>
      <c r="C60" s="9">
        <v>-3706.9035711915699</v>
      </c>
      <c r="D60" s="9">
        <v>11574.3159095061</v>
      </c>
      <c r="E60" s="9">
        <v>3537.3735931175502</v>
      </c>
      <c r="F60" s="9">
        <v>13337.337603210501</v>
      </c>
      <c r="G60" s="9">
        <v>24576.157299404898</v>
      </c>
      <c r="H60" s="9">
        <v>28080.457031968399</v>
      </c>
    </row>
    <row r="62" spans="1:8" ht="16" customHeight="1">
      <c r="A62" s="2">
        <v>2048</v>
      </c>
      <c r="B62" s="9">
        <v>71401.434754745598</v>
      </c>
      <c r="C62" s="9">
        <v>-3000.8161648189998</v>
      </c>
      <c r="D62" s="9">
        <v>13000.6693202963</v>
      </c>
      <c r="E62" s="9">
        <v>3747.7897674201299</v>
      </c>
      <c r="F62" s="9">
        <v>13450.571629742301</v>
      </c>
      <c r="G62" s="9">
        <v>24189.844221463201</v>
      </c>
      <c r="H62" s="9">
        <v>29231.754129080098</v>
      </c>
    </row>
    <row r="64" spans="1:8" ht="16" customHeight="1">
      <c r="A64" s="2">
        <v>2049</v>
      </c>
      <c r="B64" s="9">
        <v>73359.884834154203</v>
      </c>
      <c r="C64" s="9">
        <v>-2228.7957071820701</v>
      </c>
      <c r="D64" s="9">
        <v>14506.791206133201</v>
      </c>
      <c r="E64" s="9">
        <v>3968.5875374460802</v>
      </c>
      <c r="F64" s="9">
        <v>13569.1748896434</v>
      </c>
      <c r="G64" s="9">
        <v>23809.603606045799</v>
      </c>
      <c r="H64" s="9">
        <v>30343.833865353099</v>
      </c>
    </row>
    <row r="66" spans="1:8" ht="16" customHeight="1">
      <c r="A66" s="2">
        <v>2050</v>
      </c>
      <c r="B66" s="9">
        <v>75287.55</v>
      </c>
      <c r="C66" s="9">
        <v>-1387.6011818181701</v>
      </c>
      <c r="D66" s="9">
        <v>16097.142599999999</v>
      </c>
      <c r="E66" s="9">
        <v>4200.27911443636</v>
      </c>
      <c r="F66" s="9">
        <v>13693.5430695</v>
      </c>
      <c r="G66" s="9">
        <v>23435.34</v>
      </c>
      <c r="H66" s="9">
        <v>31420.700413083599</v>
      </c>
    </row>
    <row r="68" spans="1:8" ht="16" customHeight="1">
      <c r="A68" s="2">
        <v>2051</v>
      </c>
      <c r="B68" s="9">
        <v>77208.124466846697</v>
      </c>
      <c r="C68" s="9">
        <v>-1292.3858876801901</v>
      </c>
      <c r="D68" s="9">
        <v>16692.3557581614</v>
      </c>
      <c r="E68" s="9">
        <v>4307.0189829328701</v>
      </c>
      <c r="F68" s="9">
        <v>13667.521241367</v>
      </c>
      <c r="G68" s="9">
        <v>23062.453080436801</v>
      </c>
      <c r="H68" s="9">
        <v>32465.712237532902</v>
      </c>
    </row>
    <row r="70" spans="1:8" ht="16" customHeight="1">
      <c r="A70" s="2">
        <v>2052</v>
      </c>
      <c r="B70" s="9">
        <v>79098.140081262201</v>
      </c>
      <c r="C70" s="9">
        <v>-1182.2587610611099</v>
      </c>
      <c r="D70" s="9">
        <v>17299.367316520998</v>
      </c>
      <c r="E70" s="9">
        <v>4416.0709828263198</v>
      </c>
      <c r="F70" s="9">
        <v>13642.9226245014</v>
      </c>
      <c r="G70" s="9">
        <v>22695.4992796072</v>
      </c>
      <c r="H70" s="9">
        <v>33481.719735744497</v>
      </c>
    </row>
    <row r="72" spans="1:8" ht="16" customHeight="1">
      <c r="A72" s="2">
        <v>2053</v>
      </c>
      <c r="B72" s="9">
        <v>80958.083074568596</v>
      </c>
      <c r="C72" s="9">
        <v>-1057.1289519408199</v>
      </c>
      <c r="D72" s="9">
        <v>17918.411144652</v>
      </c>
      <c r="E72" s="9">
        <v>4527.4851980419899</v>
      </c>
      <c r="F72" s="9">
        <v>13619.7810567205</v>
      </c>
      <c r="G72" s="9">
        <v>22334.384193829901</v>
      </c>
      <c r="H72" s="9">
        <v>34471.1672187847</v>
      </c>
    </row>
    <row r="74" spans="1:8" ht="16" customHeight="1">
      <c r="A74" s="2">
        <v>2054</v>
      </c>
      <c r="B74" s="9">
        <v>82788.431941511197</v>
      </c>
      <c r="C74" s="9">
        <v>-916.90049767237997</v>
      </c>
      <c r="D74" s="9">
        <v>18549.7257479236</v>
      </c>
      <c r="E74" s="9">
        <v>4641.3127973913897</v>
      </c>
      <c r="F74" s="9">
        <v>13598.1314964475</v>
      </c>
      <c r="G74" s="9">
        <v>21979.014921509701</v>
      </c>
      <c r="H74" s="9">
        <v>35436.169932126599</v>
      </c>
    </row>
    <row r="76" spans="1:8" ht="16" customHeight="1">
      <c r="A76" s="2">
        <v>2055</v>
      </c>
      <c r="B76" s="9">
        <v>84589.657563358094</v>
      </c>
      <c r="C76" s="9">
        <v>-761.472273159868</v>
      </c>
      <c r="D76" s="9">
        <v>19193.554359392499</v>
      </c>
      <c r="E76" s="9">
        <v>4757.6060580724297</v>
      </c>
      <c r="F76" s="9">
        <v>13578.010057785101</v>
      </c>
      <c r="G76" s="9">
        <v>21629.300039237201</v>
      </c>
      <c r="H76" s="9">
        <v>36378.573209357397</v>
      </c>
    </row>
    <row r="78" spans="1:8" ht="16" customHeight="1">
      <c r="A78" s="2">
        <v>2056</v>
      </c>
      <c r="B78" s="9">
        <v>86362.223329040396</v>
      </c>
      <c r="C78" s="9">
        <v>-590.73793920333003</v>
      </c>
      <c r="D78" s="9">
        <v>19850.145033515899</v>
      </c>
      <c r="E78" s="9">
        <v>4876.4183896785198</v>
      </c>
      <c r="F78" s="9">
        <v>13559.4540466986</v>
      </c>
      <c r="G78" s="9">
        <v>21285.1495782694</v>
      </c>
      <c r="H78" s="9">
        <v>37299.998585199799</v>
      </c>
    </row>
    <row r="80" spans="1:8" ht="16" customHeight="1">
      <c r="A80" s="2">
        <v>2057</v>
      </c>
      <c r="B80" s="9">
        <v>88106.585254364996</v>
      </c>
      <c r="C80" s="9">
        <v>-404.58588898750202</v>
      </c>
      <c r="D80" s="9">
        <v>20519.750741721498</v>
      </c>
      <c r="E80" s="9">
        <v>4997.8043587278798</v>
      </c>
      <c r="F80" s="9">
        <v>13542.5019983406</v>
      </c>
      <c r="G80" s="9">
        <v>20946.4750013833</v>
      </c>
      <c r="H80" s="9">
        <v>38201.8802235283</v>
      </c>
    </row>
    <row r="82" spans="1:8" ht="16" customHeight="1">
      <c r="A82" s="2">
        <v>2058</v>
      </c>
      <c r="B82" s="9">
        <v>89823.192099330801</v>
      </c>
      <c r="C82" s="9">
        <v>-202.89919269027499</v>
      </c>
      <c r="D82" s="9">
        <v>21202.6294698733</v>
      </c>
      <c r="E82" s="9">
        <v>5121.8197137240304</v>
      </c>
      <c r="F82" s="9">
        <v>13527.193715555801</v>
      </c>
      <c r="G82" s="9">
        <v>20613.189180099202</v>
      </c>
      <c r="H82" s="9">
        <v>39085.494039946701</v>
      </c>
    </row>
    <row r="84" spans="1:8" ht="16" customHeight="1">
      <c r="A84" s="2">
        <v>2059</v>
      </c>
      <c r="B84" s="9">
        <v>91512.485483577795</v>
      </c>
      <c r="C84" s="9">
        <v>14.444459813988599</v>
      </c>
      <c r="D84" s="9">
        <v>21899.044317667402</v>
      </c>
      <c r="E84" s="9">
        <v>5248.5214107592901</v>
      </c>
      <c r="F84" s="9">
        <v>13513.5703086009</v>
      </c>
      <c r="G84" s="9">
        <v>20285.206372265398</v>
      </c>
      <c r="H84" s="9">
        <v>39951.981236256601</v>
      </c>
    </row>
    <row r="86" spans="1:8" ht="16" customHeight="1">
      <c r="A86" s="2">
        <v>2060</v>
      </c>
      <c r="B86" s="9">
        <v>93174.9</v>
      </c>
      <c r="C86" s="9">
        <v>247.572818181857</v>
      </c>
      <c r="D86" s="9">
        <v>22609.263599999998</v>
      </c>
      <c r="E86" s="9">
        <v>5377.96763967273</v>
      </c>
      <c r="F86" s="9">
        <v>13501.674236119999</v>
      </c>
      <c r="G86" s="9">
        <v>19962.442200000001</v>
      </c>
      <c r="H86" s="9">
        <v>40802.367506025403</v>
      </c>
    </row>
  </sheetData>
  <mergeCells count="4">
    <mergeCell ref="A12:H12"/>
    <mergeCell ref="A4:D4"/>
    <mergeCell ref="A2:H2"/>
    <mergeCell ref="A1:H1"/>
  </mergeCells>
  <phoneticPr fontId="9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</sheetPr>
  <dimension ref="A1:F47"/>
  <sheetViews>
    <sheetView workbookViewId="0">
      <selection sqref="A1:F1"/>
    </sheetView>
  </sheetViews>
  <sheetFormatPr baseColWidth="10" defaultColWidth="9" defaultRowHeight="14"/>
  <cols>
    <col min="1" max="6" width="28" customWidth="1"/>
  </cols>
  <sheetData>
    <row r="1" spans="1:6" ht="20.5" customHeight="1">
      <c r="A1" s="38" t="s">
        <v>239</v>
      </c>
      <c r="B1" s="35"/>
      <c r="C1" s="35"/>
      <c r="D1" s="35"/>
      <c r="E1" s="35"/>
      <c r="F1" s="36"/>
    </row>
    <row r="3" spans="1:6" ht="17.5" customHeight="1">
      <c r="A3" s="34" t="s">
        <v>240</v>
      </c>
      <c r="B3" s="35"/>
      <c r="C3" s="35"/>
      <c r="D3" s="35"/>
      <c r="E3" s="35"/>
      <c r="F3" s="36"/>
    </row>
    <row r="4" spans="1:6" ht="17" customHeight="1">
      <c r="A4" s="1" t="s">
        <v>241</v>
      </c>
      <c r="B4" s="1" t="s">
        <v>242</v>
      </c>
      <c r="C4" s="1" t="s">
        <v>243</v>
      </c>
      <c r="D4" s="1" t="s">
        <v>244</v>
      </c>
      <c r="E4" s="1" t="s">
        <v>245</v>
      </c>
      <c r="F4" s="1" t="s">
        <v>246</v>
      </c>
    </row>
    <row r="5" spans="1:6" ht="31" customHeight="1">
      <c r="A5" s="2" t="s">
        <v>247</v>
      </c>
      <c r="B5" s="2">
        <v>2023</v>
      </c>
      <c r="C5" s="2">
        <v>2035</v>
      </c>
      <c r="D5" s="3" t="s">
        <v>248</v>
      </c>
      <c r="E5" s="5" t="s">
        <v>249</v>
      </c>
      <c r="F5" s="7" t="s">
        <v>250</v>
      </c>
    </row>
    <row r="7" spans="1:6" ht="31" customHeight="1">
      <c r="A7" s="2" t="s">
        <v>251</v>
      </c>
      <c r="B7" s="2">
        <v>2023</v>
      </c>
      <c r="C7" s="2">
        <v>2035</v>
      </c>
      <c r="D7" s="3" t="s">
        <v>248</v>
      </c>
      <c r="E7" s="5" t="s">
        <v>249</v>
      </c>
      <c r="F7" s="7"/>
    </row>
    <row r="9" spans="1:6" ht="31" customHeight="1">
      <c r="A9" s="2" t="s">
        <v>252</v>
      </c>
      <c r="B9" s="2">
        <v>2025</v>
      </c>
      <c r="C9" s="2">
        <v>2035</v>
      </c>
      <c r="D9" s="3" t="s">
        <v>253</v>
      </c>
      <c r="E9" s="5" t="s">
        <v>254</v>
      </c>
      <c r="F9" s="7"/>
    </row>
    <row r="11" spans="1:6" ht="17" customHeight="1">
      <c r="A11" s="2" t="s">
        <v>255</v>
      </c>
      <c r="B11" s="2">
        <v>2025</v>
      </c>
      <c r="C11" s="2">
        <v>2035</v>
      </c>
      <c r="D11" s="3" t="s">
        <v>256</v>
      </c>
      <c r="E11" s="5" t="s">
        <v>254</v>
      </c>
      <c r="F11" s="7" t="s">
        <v>257</v>
      </c>
    </row>
    <row r="13" spans="1:6" ht="31" customHeight="1">
      <c r="A13" s="2" t="s">
        <v>258</v>
      </c>
      <c r="B13" s="2">
        <v>2022</v>
      </c>
      <c r="C13" s="2">
        <v>2030</v>
      </c>
      <c r="D13" s="3" t="s">
        <v>259</v>
      </c>
      <c r="E13" s="5" t="s">
        <v>260</v>
      </c>
      <c r="F13" s="7"/>
    </row>
    <row r="15" spans="1:6" ht="31" customHeight="1">
      <c r="A15" s="2" t="s">
        <v>261</v>
      </c>
      <c r="B15" s="2">
        <v>2025</v>
      </c>
      <c r="C15" s="2">
        <v>2033</v>
      </c>
      <c r="D15" s="3" t="s">
        <v>262</v>
      </c>
      <c r="E15" s="5" t="s">
        <v>263</v>
      </c>
      <c r="F15" s="7"/>
    </row>
    <row r="17" spans="1:6" ht="31" customHeight="1">
      <c r="A17" s="2" t="s">
        <v>264</v>
      </c>
      <c r="B17" s="2">
        <v>2030</v>
      </c>
      <c r="C17" s="2">
        <v>2030</v>
      </c>
      <c r="D17" s="3" t="s">
        <v>265</v>
      </c>
      <c r="E17" s="5" t="s">
        <v>266</v>
      </c>
      <c r="F17" s="7" t="s">
        <v>267</v>
      </c>
    </row>
    <row r="19" spans="1:6" ht="17" customHeight="1">
      <c r="A19" s="4" t="s">
        <v>268</v>
      </c>
      <c r="E19" s="5" t="s">
        <v>269</v>
      </c>
    </row>
    <row r="21" spans="1:6" ht="17.5" customHeight="1">
      <c r="A21" s="34" t="s">
        <v>270</v>
      </c>
      <c r="B21" s="35"/>
      <c r="C21" s="35"/>
      <c r="D21" s="35"/>
      <c r="E21" s="35"/>
      <c r="F21" s="36"/>
    </row>
    <row r="22" spans="1:6" ht="17" customHeight="1">
      <c r="A22" s="1" t="s">
        <v>15</v>
      </c>
      <c r="B22" s="1" t="s">
        <v>271</v>
      </c>
      <c r="C22" s="1" t="s">
        <v>272</v>
      </c>
      <c r="D22" s="1" t="s">
        <v>45</v>
      </c>
      <c r="E22" s="1" t="s">
        <v>273</v>
      </c>
      <c r="F22" s="1" t="s">
        <v>274</v>
      </c>
    </row>
    <row r="23" spans="1:6" ht="17" customHeight="1">
      <c r="A23" s="4" t="s">
        <v>275</v>
      </c>
      <c r="B23" s="2" t="s">
        <v>276</v>
      </c>
      <c r="C23" s="2" t="s">
        <v>277</v>
      </c>
      <c r="D23" s="2" t="s">
        <v>278</v>
      </c>
      <c r="E23" s="2" t="s">
        <v>279</v>
      </c>
      <c r="F23" s="2" t="s">
        <v>280</v>
      </c>
    </row>
    <row r="24" spans="1:6" ht="17" customHeight="1">
      <c r="A24" s="4" t="s">
        <v>281</v>
      </c>
      <c r="B24" s="2" t="s">
        <v>282</v>
      </c>
      <c r="C24" s="2" t="s">
        <v>283</v>
      </c>
      <c r="D24" s="2" t="s">
        <v>284</v>
      </c>
      <c r="E24" s="2" t="s">
        <v>285</v>
      </c>
      <c r="F24" s="2" t="s">
        <v>286</v>
      </c>
    </row>
    <row r="25" spans="1:6" ht="17" customHeight="1">
      <c r="A25" s="5" t="s">
        <v>287</v>
      </c>
      <c r="B25" s="6" t="s">
        <v>166</v>
      </c>
      <c r="C25" s="6" t="s">
        <v>288</v>
      </c>
      <c r="D25" s="6" t="s">
        <v>289</v>
      </c>
      <c r="E25" s="6" t="s">
        <v>290</v>
      </c>
      <c r="F25" s="6" t="s">
        <v>291</v>
      </c>
    </row>
    <row r="27" spans="1:6" ht="17.5" customHeight="1">
      <c r="A27" s="34" t="s">
        <v>292</v>
      </c>
      <c r="B27" s="35"/>
      <c r="C27" s="35"/>
      <c r="D27" s="35"/>
      <c r="E27" s="35"/>
      <c r="F27" s="36"/>
    </row>
    <row r="28" spans="1:6" ht="17" customHeight="1">
      <c r="A28" s="1" t="s">
        <v>293</v>
      </c>
      <c r="B28" s="1" t="s">
        <v>294</v>
      </c>
      <c r="C28" s="1" t="s">
        <v>295</v>
      </c>
    </row>
    <row r="29" spans="1:6" ht="17" customHeight="1">
      <c r="A29" s="2" t="s">
        <v>296</v>
      </c>
      <c r="B29" s="2" t="s">
        <v>297</v>
      </c>
      <c r="C29" s="2" t="s">
        <v>298</v>
      </c>
    </row>
    <row r="30" spans="1:6" ht="17" customHeight="1">
      <c r="A30" s="2" t="s">
        <v>299</v>
      </c>
      <c r="B30" s="2" t="s">
        <v>300</v>
      </c>
      <c r="C30" s="2" t="s">
        <v>301</v>
      </c>
    </row>
    <row r="31" spans="1:6" ht="17" customHeight="1">
      <c r="A31" s="2" t="s">
        <v>302</v>
      </c>
      <c r="B31" s="2" t="s">
        <v>303</v>
      </c>
      <c r="C31" s="2" t="s">
        <v>304</v>
      </c>
    </row>
    <row r="32" spans="1:6" ht="17" customHeight="1">
      <c r="A32" s="2" t="s">
        <v>305</v>
      </c>
      <c r="B32" s="2" t="s">
        <v>306</v>
      </c>
      <c r="C32" s="2" t="s">
        <v>307</v>
      </c>
    </row>
    <row r="33" spans="1:6" ht="17" customHeight="1">
      <c r="A33" s="2" t="s">
        <v>308</v>
      </c>
      <c r="B33" s="2" t="s">
        <v>309</v>
      </c>
      <c r="C33" s="2" t="s">
        <v>310</v>
      </c>
    </row>
    <row r="34" spans="1:6" ht="17" customHeight="1">
      <c r="A34" s="2" t="s">
        <v>311</v>
      </c>
      <c r="B34" s="2" t="s">
        <v>312</v>
      </c>
      <c r="C34" s="2" t="s">
        <v>313</v>
      </c>
    </row>
    <row r="36" spans="1:6" ht="17.5" customHeight="1">
      <c r="A36" s="34" t="s">
        <v>314</v>
      </c>
      <c r="B36" s="35"/>
      <c r="C36" s="35"/>
      <c r="D36" s="35"/>
      <c r="E36" s="35"/>
      <c r="F36" s="36"/>
    </row>
    <row r="37" spans="1:6" ht="17" customHeight="1">
      <c r="A37" s="1" t="s">
        <v>315</v>
      </c>
      <c r="B37" s="1" t="s">
        <v>316</v>
      </c>
      <c r="C37" s="1" t="s">
        <v>317</v>
      </c>
      <c r="D37" s="1" t="s">
        <v>318</v>
      </c>
    </row>
    <row r="38" spans="1:6" ht="17" customHeight="1">
      <c r="A38" s="4" t="s">
        <v>319</v>
      </c>
      <c r="B38" s="4" t="s">
        <v>320</v>
      </c>
      <c r="C38" s="4" t="s">
        <v>313</v>
      </c>
      <c r="D38" s="4" t="s">
        <v>321</v>
      </c>
    </row>
    <row r="39" spans="1:6" ht="17" customHeight="1">
      <c r="A39" s="4" t="s">
        <v>322</v>
      </c>
      <c r="B39" s="4" t="s">
        <v>323</v>
      </c>
      <c r="C39" s="4" t="s">
        <v>324</v>
      </c>
      <c r="D39" s="4" t="s">
        <v>325</v>
      </c>
    </row>
    <row r="40" spans="1:6" ht="17" customHeight="1">
      <c r="A40" s="5" t="s">
        <v>326</v>
      </c>
      <c r="B40" s="5" t="s">
        <v>327</v>
      </c>
      <c r="C40" s="5" t="s">
        <v>166</v>
      </c>
      <c r="D40" s="5" t="s">
        <v>328</v>
      </c>
    </row>
    <row r="42" spans="1:6" ht="17.5" customHeight="1">
      <c r="A42" s="34" t="s">
        <v>329</v>
      </c>
      <c r="B42" s="35"/>
      <c r="C42" s="35"/>
      <c r="D42" s="35"/>
      <c r="E42" s="35"/>
      <c r="F42" s="36"/>
    </row>
    <row r="43" spans="1:6" ht="17" customHeight="1">
      <c r="A43" s="1" t="s">
        <v>330</v>
      </c>
      <c r="B43" s="1" t="s">
        <v>316</v>
      </c>
      <c r="C43" s="1" t="s">
        <v>331</v>
      </c>
      <c r="D43" s="1" t="s">
        <v>318</v>
      </c>
    </row>
    <row r="44" spans="1:6" ht="17" customHeight="1">
      <c r="A44" s="4" t="s">
        <v>332</v>
      </c>
      <c r="B44" s="4" t="s">
        <v>333</v>
      </c>
      <c r="C44" s="4" t="s">
        <v>328</v>
      </c>
      <c r="D44" s="4" t="s">
        <v>334</v>
      </c>
    </row>
    <row r="45" spans="1:6" ht="17" customHeight="1">
      <c r="A45" s="4" t="s">
        <v>335</v>
      </c>
      <c r="B45" s="4" t="s">
        <v>336</v>
      </c>
      <c r="C45" s="4" t="s">
        <v>337</v>
      </c>
      <c r="D45" s="4" t="s">
        <v>337</v>
      </c>
    </row>
    <row r="46" spans="1:6" ht="17" customHeight="1">
      <c r="A46" s="4" t="s">
        <v>338</v>
      </c>
      <c r="B46" s="4" t="s">
        <v>339</v>
      </c>
      <c r="C46" s="4" t="s">
        <v>340</v>
      </c>
      <c r="D46" s="4" t="s">
        <v>341</v>
      </c>
    </row>
    <row r="47" spans="1:6" ht="17" customHeight="1">
      <c r="A47" s="5" t="s">
        <v>342</v>
      </c>
      <c r="B47" s="5" t="s">
        <v>327</v>
      </c>
      <c r="C47" s="5" t="s">
        <v>166</v>
      </c>
      <c r="D47" s="5" t="s">
        <v>343</v>
      </c>
    </row>
  </sheetData>
  <mergeCells count="6">
    <mergeCell ref="A42:F42"/>
    <mergeCell ref="A36:F36"/>
    <mergeCell ref="A1:F1"/>
    <mergeCell ref="A27:F27"/>
    <mergeCell ref="A3:F3"/>
    <mergeCell ref="A21:F21"/>
  </mergeCells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模型总览与设计逻辑</vt:lpstr>
      <vt:lpstr>积极情景</vt:lpstr>
      <vt:lpstr>适度情景</vt:lpstr>
      <vt:lpstr>保守情景</vt:lpstr>
      <vt:lpstr>汇总对比与可视化看板</vt:lpstr>
      <vt:lpstr>金融机构目标设置（组合估算）</vt:lpstr>
      <vt:lpstr>金融机构目标设置（企业）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戴银龙</cp:lastModifiedBy>
  <dcterms:created xsi:type="dcterms:W3CDTF">2026-04-16T05:49:00Z</dcterms:created>
  <dcterms:modified xsi:type="dcterms:W3CDTF">2026-05-11T16:48:45Z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2052-6.13.1.8913</vt:lpwstr>
  </property>
  <property fmtid="{D5CDD505-2E9C-101B-9397-08002B2CF9AE}" pid="3" name="ICV">
    <vt:lpwstr>6D5461062B51B35C08CF016A10F7CBED_43</vt:lpwstr>
  </property>
</Properties>
</file>